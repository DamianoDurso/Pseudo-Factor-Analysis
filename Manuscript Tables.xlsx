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" sheetId="1" state="visible" r:id="rId1"/>
    <sheet name="Table 2" sheetId="2" state="visible" r:id="rId2"/>
    <sheet name="Table 3" sheetId="3" state="visible" r:id="rId3"/>
    <sheet name="Table 4" sheetId="4" state="visible" r:id="rId4"/>
    <sheet name="Table 5" sheetId="5" state="visible" r:id="rId5"/>
    <sheet name="Table 6" sheetId="6" state="visible" r:id="rId6"/>
    <sheet name="Table 7" sheetId="7" state="visible" r:id="rId7"/>
    <sheet name="Table 8" sheetId="8" state="visible" r:id="rId8"/>
    <sheet name="Table S1" sheetId="9" state="visible" r:id="rId9"/>
    <sheet name="Table S2" sheetId="10" state="visible" r:id="rId10"/>
    <sheet name="Table S3" sheetId="11" state="visible" r:id="rId11"/>
    <sheet name="Table S4" sheetId="12" state="visible" r:id="rId12"/>
    <sheet name="Text valu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.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/>
      <bottom style="thin"/>
    </border>
    <border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0" applyAlignment="1" pivotButton="0" quotePrefix="0" xfId="0">
      <alignment horizontal="left"/>
    </xf>
    <xf numFmtId="2" fontId="0" fillId="0" borderId="0" applyAlignment="1" pivotButton="0" quotePrefix="0" xfId="0">
      <alignment horizontal="right"/>
    </xf>
    <xf numFmtId="0" fontId="0" fillId="0" borderId="2" applyAlignment="1" pivotButton="0" quotePrefix="0" xfId="0">
      <alignment horizontal="left"/>
    </xf>
    <xf numFmtId="2" fontId="0" fillId="0" borderId="2" applyAlignment="1" pivotButton="0" quotePrefix="0" xfId="0">
      <alignment horizontal="right"/>
    </xf>
    <xf numFmtId="0" fontId="2" fillId="0" borderId="0" pivotButton="0" quotePrefix="0" xfId="0"/>
    <xf numFmtId="0" fontId="2" fillId="0" borderId="2" pivotButton="0" quotePrefix="0" xfId="0"/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4" fontId="0" fillId="0" borderId="2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1" fontId="0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Table 1. NEO Embedding Factor Structures Using Transformer Averages for Macro Encoding.</t>
        </is>
      </c>
    </row>
    <row r="3">
      <c r="A3" s="2" t="inlineStr">
        <is>
          <t>Facet</t>
        </is>
      </c>
      <c r="B3" s="2" t="inlineStr">
        <is>
          <t>O</t>
        </is>
      </c>
      <c r="C3" s="2" t="inlineStr">
        <is>
          <t>C</t>
        </is>
      </c>
      <c r="D3" s="2" t="inlineStr">
        <is>
          <t>E</t>
        </is>
      </c>
      <c r="E3" s="2" t="inlineStr">
        <is>
          <t>A</t>
        </is>
      </c>
      <c r="F3" s="2" t="inlineStr">
        <is>
          <t>N</t>
        </is>
      </c>
    </row>
    <row r="4">
      <c r="A4" s="3" t="inlineStr">
        <is>
          <t>Ima</t>
        </is>
      </c>
      <c r="B4" s="4" t="n">
        <v>0.65</v>
      </c>
      <c r="C4" s="4" t="n">
        <v>0.15</v>
      </c>
      <c r="D4" s="4" t="n">
        <v>0.01</v>
      </c>
      <c r="E4" s="4" t="n">
        <v>-0.1</v>
      </c>
      <c r="F4" s="4" t="n">
        <v>0.1</v>
      </c>
    </row>
    <row r="5">
      <c r="A5" s="3" t="inlineStr">
        <is>
          <t>Art</t>
        </is>
      </c>
      <c r="B5" s="4" t="n">
        <v>0.86</v>
      </c>
      <c r="C5" s="4" t="n">
        <v>-0.26</v>
      </c>
      <c r="D5" s="4" t="n">
        <v>0.16</v>
      </c>
      <c r="E5" s="4" t="n">
        <v>0.19</v>
      </c>
      <c r="F5" s="4" t="n">
        <v>-0.22</v>
      </c>
    </row>
    <row r="6">
      <c r="A6" s="3" t="inlineStr">
        <is>
          <t>Emo</t>
        </is>
      </c>
      <c r="B6" s="4" t="n">
        <v>0.42</v>
      </c>
      <c r="C6" s="4" t="n">
        <v>-0.22</v>
      </c>
      <c r="D6" s="4" t="n">
        <v>-0.11</v>
      </c>
      <c r="E6" s="4" t="n">
        <v>0.27</v>
      </c>
      <c r="F6" s="4" t="n">
        <v>0.53</v>
      </c>
    </row>
    <row r="7">
      <c r="A7" s="3" t="inlineStr">
        <is>
          <t>Adv</t>
        </is>
      </c>
      <c r="B7" s="4" t="n">
        <v>0.54</v>
      </c>
      <c r="C7" s="4" t="n">
        <v>0.16</v>
      </c>
      <c r="D7" s="4" t="n">
        <v>0.41</v>
      </c>
      <c r="E7" s="4" t="n">
        <v>-0.24</v>
      </c>
      <c r="F7" s="4" t="n">
        <v>-0.05</v>
      </c>
    </row>
    <row r="8">
      <c r="A8" s="3" t="inlineStr">
        <is>
          <t>Int</t>
        </is>
      </c>
      <c r="B8" s="4" t="n">
        <v>0.55</v>
      </c>
      <c r="C8" s="4" t="n">
        <v>-0.01</v>
      </c>
      <c r="D8" s="4" t="n">
        <v>0.16</v>
      </c>
      <c r="E8" s="4" t="n">
        <v>-0.03</v>
      </c>
      <c r="F8" s="4" t="n">
        <v>0.12</v>
      </c>
    </row>
    <row r="9">
      <c r="A9" s="3" t="inlineStr">
        <is>
          <t>Lib</t>
        </is>
      </c>
      <c r="B9" s="4" t="n">
        <v>0.53</v>
      </c>
      <c r="C9" s="4" t="n">
        <v>-0.01</v>
      </c>
      <c r="D9" s="4" t="n">
        <v>-0.09</v>
      </c>
      <c r="E9" s="4" t="n">
        <v>0.41</v>
      </c>
      <c r="F9" s="4" t="n">
        <v>-0.1</v>
      </c>
    </row>
    <row r="10">
      <c r="A10" s="3" t="inlineStr">
        <is>
          <t>Sel</t>
        </is>
      </c>
      <c r="B10" s="4" t="n">
        <v>-0.19</v>
      </c>
      <c r="C10" s="4" t="n">
        <v>0.65</v>
      </c>
      <c r="D10" s="4" t="n">
        <v>-0.05</v>
      </c>
      <c r="E10" s="4" t="n">
        <v>0.13</v>
      </c>
      <c r="F10" s="4" t="n">
        <v>0.34</v>
      </c>
    </row>
    <row r="11">
      <c r="A11" s="3" t="inlineStr">
        <is>
          <t>Ord</t>
        </is>
      </c>
      <c r="B11" s="4" t="n">
        <v>0.24</v>
      </c>
      <c r="C11" s="4" t="n">
        <v>0.45</v>
      </c>
      <c r="D11" s="4" t="n">
        <v>0.3</v>
      </c>
      <c r="E11" s="4" t="n">
        <v>-0.11</v>
      </c>
      <c r="F11" s="4" t="n">
        <v>-0.06</v>
      </c>
    </row>
    <row r="12">
      <c r="A12" s="3" t="inlineStr">
        <is>
          <t>Dut</t>
        </is>
      </c>
      <c r="B12" s="4" t="n">
        <v>-0.12</v>
      </c>
      <c r="C12" s="4" t="n">
        <v>0.72</v>
      </c>
      <c r="D12" s="4" t="n">
        <v>-0.12</v>
      </c>
      <c r="E12" s="4" t="n">
        <v>0.57</v>
      </c>
      <c r="F12" s="4" t="n">
        <v>-0.27</v>
      </c>
    </row>
    <row r="13">
      <c r="A13" s="3" t="inlineStr">
        <is>
          <t>Ach</t>
        </is>
      </c>
      <c r="B13" s="4" t="n">
        <v>-0.13</v>
      </c>
      <c r="C13" s="4" t="n">
        <v>0.79</v>
      </c>
      <c r="D13" s="4" t="n">
        <v>0.11</v>
      </c>
      <c r="E13" s="4" t="n">
        <v>0.08</v>
      </c>
      <c r="F13" s="4" t="n">
        <v>0.02</v>
      </c>
    </row>
    <row r="14">
      <c r="A14" s="3" t="inlineStr">
        <is>
          <t>Sel</t>
        </is>
      </c>
      <c r="B14" s="4" t="n">
        <v>-0.19</v>
      </c>
      <c r="C14" s="4" t="n">
        <v>0.85</v>
      </c>
      <c r="D14" s="4" t="n">
        <v>0.28</v>
      </c>
      <c r="E14" s="4" t="n">
        <v>-0.27</v>
      </c>
      <c r="F14" s="4" t="n">
        <v>0.14</v>
      </c>
    </row>
    <row r="15">
      <c r="A15" s="3" t="inlineStr">
        <is>
          <t>Cau</t>
        </is>
      </c>
      <c r="B15" s="4" t="n">
        <v>0.25</v>
      </c>
      <c r="C15" s="4" t="n">
        <v>0.5</v>
      </c>
      <c r="D15" s="4" t="n">
        <v>0.1</v>
      </c>
      <c r="E15" s="4" t="n">
        <v>-0.07000000000000001</v>
      </c>
      <c r="F15" s="4" t="n">
        <v>0.1</v>
      </c>
    </row>
    <row r="16">
      <c r="A16" s="3" t="inlineStr">
        <is>
          <t>Fri</t>
        </is>
      </c>
      <c r="B16" s="4" t="n">
        <v>-0.34</v>
      </c>
      <c r="C16" s="4" t="n">
        <v>-0.18</v>
      </c>
      <c r="D16" s="4" t="n">
        <v>0.9399999999999999</v>
      </c>
      <c r="E16" s="4" t="n">
        <v>0.26</v>
      </c>
      <c r="F16" s="4" t="n">
        <v>0.18</v>
      </c>
    </row>
    <row r="17">
      <c r="A17" s="3" t="inlineStr">
        <is>
          <t>Gre</t>
        </is>
      </c>
      <c r="B17" s="4" t="n">
        <v>0.2</v>
      </c>
      <c r="C17" s="4" t="n">
        <v>-0.03</v>
      </c>
      <c r="D17" s="4" t="n">
        <v>0.84</v>
      </c>
      <c r="E17" s="4" t="n">
        <v>-0.04</v>
      </c>
      <c r="F17" s="4" t="n">
        <v>-0.14</v>
      </c>
    </row>
    <row r="18">
      <c r="A18" s="3" t="inlineStr">
        <is>
          <t>Ass</t>
        </is>
      </c>
      <c r="B18" s="4" t="n">
        <v>-0.19</v>
      </c>
      <c r="C18" s="4" t="n">
        <v>0.38</v>
      </c>
      <c r="D18" s="4" t="n">
        <v>0.44</v>
      </c>
      <c r="E18" s="4" t="n">
        <v>0.3</v>
      </c>
      <c r="F18" s="4" t="n">
        <v>-0.05</v>
      </c>
    </row>
    <row r="19">
      <c r="A19" s="3" t="inlineStr">
        <is>
          <t>Act</t>
        </is>
      </c>
      <c r="B19" s="4" t="n">
        <v>0.09</v>
      </c>
      <c r="C19" s="4" t="n">
        <v>0.5</v>
      </c>
      <c r="D19" s="4" t="n">
        <v>0.37</v>
      </c>
      <c r="E19" s="4" t="n">
        <v>-0.26</v>
      </c>
      <c r="F19" s="4" t="n">
        <v>0.18</v>
      </c>
    </row>
    <row r="20">
      <c r="A20" s="3" t="inlineStr">
        <is>
          <t>Exc</t>
        </is>
      </c>
      <c r="B20" s="4" t="n">
        <v>0.54</v>
      </c>
      <c r="C20" s="4" t="n">
        <v>0.02</v>
      </c>
      <c r="D20" s="4" t="n">
        <v>0.4</v>
      </c>
      <c r="E20" s="4" t="n">
        <v>-0.08</v>
      </c>
      <c r="F20" s="4" t="n">
        <v>-0.08</v>
      </c>
    </row>
    <row r="21">
      <c r="A21" s="3" t="inlineStr">
        <is>
          <t>Che</t>
        </is>
      </c>
      <c r="B21" s="4" t="n">
        <v>0.27</v>
      </c>
      <c r="C21" s="4" t="n">
        <v>-0.07000000000000001</v>
      </c>
      <c r="D21" s="4" t="n">
        <v>0.33</v>
      </c>
      <c r="E21" s="4" t="n">
        <v>0.2</v>
      </c>
      <c r="F21" s="4" t="n">
        <v>0.09</v>
      </c>
    </row>
    <row r="22">
      <c r="A22" s="3" t="inlineStr">
        <is>
          <t>Tru</t>
        </is>
      </c>
      <c r="B22" s="4" t="n">
        <v>0.1</v>
      </c>
      <c r="C22" s="4" t="n">
        <v>-0.12</v>
      </c>
      <c r="D22" s="4" t="n">
        <v>0.13</v>
      </c>
      <c r="E22" s="4" t="n">
        <v>0.66</v>
      </c>
      <c r="F22" s="4" t="n">
        <v>0.06</v>
      </c>
    </row>
    <row r="23">
      <c r="A23" s="3" t="inlineStr">
        <is>
          <t>Mor</t>
        </is>
      </c>
      <c r="B23" s="4" t="n">
        <v>-0.07000000000000001</v>
      </c>
      <c r="C23" s="4" t="n">
        <v>0.49</v>
      </c>
      <c r="D23" s="4" t="n">
        <v>-0.05</v>
      </c>
      <c r="E23" s="4" t="n">
        <v>0.78</v>
      </c>
      <c r="F23" s="4" t="n">
        <v>-0.27</v>
      </c>
    </row>
    <row r="24">
      <c r="A24" s="3" t="inlineStr">
        <is>
          <t>Alt</t>
        </is>
      </c>
      <c r="B24" s="4" t="n">
        <v>0.01</v>
      </c>
      <c r="C24" s="4" t="n">
        <v>-0.08</v>
      </c>
      <c r="D24" s="4" t="n">
        <v>0.24</v>
      </c>
      <c r="E24" s="4" t="n">
        <v>0.76</v>
      </c>
      <c r="F24" s="4" t="n">
        <v>-0.03</v>
      </c>
    </row>
    <row r="25">
      <c r="A25" s="3" t="inlineStr">
        <is>
          <t>Co</t>
        </is>
      </c>
      <c r="B25" s="4" t="n">
        <v>0.13</v>
      </c>
      <c r="C25" s="4" t="n">
        <v>0.07000000000000001</v>
      </c>
      <c r="D25" s="4" t="n">
        <v>-0.04</v>
      </c>
      <c r="E25" s="4" t="n">
        <v>0.48</v>
      </c>
      <c r="F25" s="4" t="n">
        <v>0.22</v>
      </c>
    </row>
    <row r="26">
      <c r="A26" s="3" t="inlineStr">
        <is>
          <t>Mod</t>
        </is>
      </c>
      <c r="B26" s="4" t="n">
        <v>0.1</v>
      </c>
      <c r="C26" s="4" t="n">
        <v>0.17</v>
      </c>
      <c r="D26" s="4" t="n">
        <v>0.16</v>
      </c>
      <c r="E26" s="4" t="n">
        <v>0.43</v>
      </c>
      <c r="F26" s="4" t="n">
        <v>0.01</v>
      </c>
    </row>
    <row r="27">
      <c r="A27" s="3" t="inlineStr">
        <is>
          <t>Sym</t>
        </is>
      </c>
      <c r="B27" s="4" t="n">
        <v>0.27</v>
      </c>
      <c r="C27" s="4" t="n">
        <v>-0.21</v>
      </c>
      <c r="D27" s="4" t="n">
        <v>-0.05</v>
      </c>
      <c r="E27" s="4" t="n">
        <v>0.79</v>
      </c>
      <c r="F27" s="4" t="n">
        <v>0.06</v>
      </c>
    </row>
    <row r="28">
      <c r="A28" s="3" t="inlineStr">
        <is>
          <t>Anx</t>
        </is>
      </c>
      <c r="B28" s="4" t="n">
        <v>0.11</v>
      </c>
      <c r="C28" s="4" t="n">
        <v>-0.03</v>
      </c>
      <c r="D28" s="4" t="n">
        <v>-0.06</v>
      </c>
      <c r="E28" s="4" t="n">
        <v>-0.01</v>
      </c>
      <c r="F28" s="4" t="n">
        <v>0.89</v>
      </c>
    </row>
    <row r="29">
      <c r="A29" s="3" t="inlineStr">
        <is>
          <t>Ang</t>
        </is>
      </c>
      <c r="B29" s="4" t="n">
        <v>0.11</v>
      </c>
      <c r="C29" s="4" t="n">
        <v>0.09</v>
      </c>
      <c r="D29" s="4" t="n">
        <v>-0.15</v>
      </c>
      <c r="E29" s="4" t="n">
        <v>0.08</v>
      </c>
      <c r="F29" s="4" t="n">
        <v>0.74</v>
      </c>
    </row>
    <row r="30">
      <c r="A30" s="3" t="inlineStr">
        <is>
          <t>Dep</t>
        </is>
      </c>
      <c r="B30" s="4" t="n">
        <v>0.12</v>
      </c>
      <c r="C30" s="4" t="n">
        <v>-0</v>
      </c>
      <c r="D30" s="4" t="n">
        <v>0.1</v>
      </c>
      <c r="E30" s="4" t="n">
        <v>0.01</v>
      </c>
      <c r="F30" s="4" t="n">
        <v>0.6</v>
      </c>
    </row>
    <row r="31">
      <c r="A31" s="3" t="inlineStr">
        <is>
          <t>Sel</t>
        </is>
      </c>
      <c r="B31" s="4" t="n">
        <v>-0.23</v>
      </c>
      <c r="C31" s="4" t="n">
        <v>-0.08</v>
      </c>
      <c r="D31" s="4" t="n">
        <v>0.5600000000000001</v>
      </c>
      <c r="E31" s="4" t="n">
        <v>0.05</v>
      </c>
      <c r="F31" s="4" t="n">
        <v>0.55</v>
      </c>
    </row>
    <row r="32">
      <c r="A32" s="3" t="inlineStr">
        <is>
          <t>Imm</t>
        </is>
      </c>
      <c r="B32" s="4" t="n">
        <v>0.32</v>
      </c>
      <c r="C32" s="4" t="n">
        <v>0.27</v>
      </c>
      <c r="D32" s="4" t="n">
        <v>-0.04</v>
      </c>
      <c r="E32" s="4" t="n">
        <v>-0.01</v>
      </c>
      <c r="F32" s="4" t="n">
        <v>0.28</v>
      </c>
    </row>
    <row r="33">
      <c r="A33" s="5" t="inlineStr">
        <is>
          <t>Vul</t>
        </is>
      </c>
      <c r="B33" s="6" t="n">
        <v>0.03</v>
      </c>
      <c r="C33" s="6" t="n">
        <v>0.05</v>
      </c>
      <c r="D33" s="6" t="n">
        <v>-0.18</v>
      </c>
      <c r="E33" s="6" t="n">
        <v>-0.03</v>
      </c>
      <c r="F33" s="6" t="n">
        <v>1.02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Table 2. Congruence Between NEO Empirical and NEO Embedding Transformer Models.</t>
        </is>
      </c>
    </row>
    <row r="3">
      <c r="B3" s="7" t="inlineStr">
        <is>
          <t>Atomic congruence</t>
        </is>
      </c>
      <c r="G3" s="7" t="inlineStr">
        <is>
          <t>Atomic reverse congruence</t>
        </is>
      </c>
      <c r="L3" s="7" t="inlineStr">
        <is>
          <t>Macro congruence</t>
        </is>
      </c>
      <c r="Q3" s="7" t="inlineStr">
        <is>
          <t>M</t>
        </is>
      </c>
    </row>
    <row r="4">
      <c r="A4" s="8" t="inlineStr">
        <is>
          <t>Model</t>
        </is>
      </c>
      <c r="B4" s="8" t="inlineStr">
        <is>
          <t>O</t>
        </is>
      </c>
      <c r="C4" s="8" t="inlineStr">
        <is>
          <t>C</t>
        </is>
      </c>
      <c r="D4" s="8" t="inlineStr">
        <is>
          <t>E</t>
        </is>
      </c>
      <c r="E4" s="8" t="inlineStr">
        <is>
          <t>A</t>
        </is>
      </c>
      <c r="F4" s="8" t="inlineStr">
        <is>
          <t>N</t>
        </is>
      </c>
      <c r="G4" s="8" t="inlineStr">
        <is>
          <t>O</t>
        </is>
      </c>
      <c r="H4" s="8" t="inlineStr">
        <is>
          <t>C</t>
        </is>
      </c>
      <c r="I4" s="8" t="inlineStr">
        <is>
          <t>E</t>
        </is>
      </c>
      <c r="J4" s="8" t="inlineStr">
        <is>
          <t>A</t>
        </is>
      </c>
      <c r="K4" s="8" t="inlineStr">
        <is>
          <t>N</t>
        </is>
      </c>
      <c r="L4" s="8" t="inlineStr">
        <is>
          <t>O</t>
        </is>
      </c>
      <c r="M4" s="8" t="inlineStr">
        <is>
          <t>C</t>
        </is>
      </c>
      <c r="N4" s="8" t="inlineStr">
        <is>
          <t>E</t>
        </is>
      </c>
      <c r="O4" s="8" t="inlineStr">
        <is>
          <t>A</t>
        </is>
      </c>
      <c r="P4" s="8" t="inlineStr">
        <is>
          <t>N</t>
        </is>
      </c>
      <c r="Q4" s="8" t="inlineStr">
        <is>
          <t>M</t>
        </is>
      </c>
    </row>
    <row r="5">
      <c r="A5" s="3" t="inlineStr">
        <is>
          <t>D_RoBERTa</t>
        </is>
      </c>
      <c r="B5" s="4" t="n">
        <v>0.68</v>
      </c>
      <c r="C5" s="4" t="n">
        <v>0.77</v>
      </c>
      <c r="D5" s="4" t="n">
        <v>0.66</v>
      </c>
      <c r="E5" s="4" t="n">
        <v>0.72</v>
      </c>
      <c r="F5" s="4" t="n">
        <v>0.76</v>
      </c>
      <c r="G5" s="4" t="n">
        <v>0.65</v>
      </c>
      <c r="H5" s="4" t="n">
        <v>0.84</v>
      </c>
      <c r="I5" s="4" t="n">
        <v>0.77</v>
      </c>
      <c r="J5" s="4" t="n">
        <v>0.46</v>
      </c>
      <c r="K5" s="4" t="n">
        <v>0.86</v>
      </c>
      <c r="L5" s="4" t="n">
        <v>0.76</v>
      </c>
      <c r="M5" s="4" t="n">
        <v>0.8</v>
      </c>
      <c r="N5" s="4" t="n">
        <v>0.57</v>
      </c>
      <c r="O5" s="4" t="n">
        <v>0.73</v>
      </c>
      <c r="P5" s="4" t="n">
        <v>0.73</v>
      </c>
      <c r="Q5" s="4">
        <f>IFERROR(AVERAGE(B5:P5),"NA")</f>
        <v/>
      </c>
    </row>
    <row r="6">
      <c r="A6" s="3" t="inlineStr">
        <is>
          <t>MiniLM</t>
        </is>
      </c>
      <c r="B6" s="4" t="n">
        <v>0.77</v>
      </c>
      <c r="C6" s="4" t="n">
        <v>0.71</v>
      </c>
      <c r="D6" s="9" t="inlineStr">
        <is>
          <t>NA</t>
        </is>
      </c>
      <c r="E6" s="9" t="inlineStr">
        <is>
          <t>NA</t>
        </is>
      </c>
      <c r="F6" s="4" t="n">
        <v>0.67</v>
      </c>
      <c r="G6" s="4" t="n">
        <v>0.47</v>
      </c>
      <c r="H6" s="9" t="inlineStr">
        <is>
          <t>NA</t>
        </is>
      </c>
      <c r="I6" s="4" t="n">
        <v>0.35</v>
      </c>
      <c r="J6" s="4" t="n">
        <v>0</v>
      </c>
      <c r="K6" s="9" t="inlineStr">
        <is>
          <t>NA</t>
        </is>
      </c>
      <c r="L6" s="4" t="n">
        <v>0.77</v>
      </c>
      <c r="M6" s="4" t="n">
        <v>0.77</v>
      </c>
      <c r="N6" s="4" t="n">
        <v>0.41</v>
      </c>
      <c r="O6" s="4" t="n">
        <v>0.74</v>
      </c>
      <c r="P6" s="4" t="n">
        <v>0.71</v>
      </c>
      <c r="Q6" s="4">
        <f>IFERROR(AVERAGE(B6:P6),"NA")</f>
        <v/>
      </c>
    </row>
    <row r="7">
      <c r="A7" s="3" t="inlineStr">
        <is>
          <t>MPNet</t>
        </is>
      </c>
      <c r="B7" s="4" t="n">
        <v>0.57</v>
      </c>
      <c r="C7" s="4" t="n">
        <v>0.77</v>
      </c>
      <c r="D7" s="4" t="n">
        <v>0.62</v>
      </c>
      <c r="E7" s="4" t="n">
        <v>0.73</v>
      </c>
      <c r="F7" s="4" t="n">
        <v>0.72</v>
      </c>
      <c r="G7" s="4" t="n">
        <v>0.78</v>
      </c>
      <c r="H7" s="4" t="n">
        <v>0.46</v>
      </c>
      <c r="I7" s="4" t="n">
        <v>0.74</v>
      </c>
      <c r="J7" s="4" t="n">
        <v>0.64</v>
      </c>
      <c r="K7" s="4" t="n">
        <v>0.83</v>
      </c>
      <c r="L7" s="4" t="n">
        <v>0.52</v>
      </c>
      <c r="M7" s="4" t="n">
        <v>0.8</v>
      </c>
      <c r="N7" s="4" t="n">
        <v>0.5</v>
      </c>
      <c r="O7" s="4" t="n">
        <v>0.73</v>
      </c>
      <c r="P7" s="4" t="n">
        <v>0.68</v>
      </c>
      <c r="Q7" s="4">
        <f>IFERROR(AVERAGE(B7:P7),"NA")</f>
        <v/>
      </c>
    </row>
    <row r="8">
      <c r="A8" s="3" t="inlineStr">
        <is>
          <t>T5</t>
        </is>
      </c>
      <c r="B8" s="4" t="n">
        <v>0.76</v>
      </c>
      <c r="C8" s="4" t="n">
        <v>0.7</v>
      </c>
      <c r="D8" s="4" t="n">
        <v>0.63</v>
      </c>
      <c r="E8" s="4" t="n">
        <v>0.73</v>
      </c>
      <c r="F8" s="4" t="n">
        <v>0.74</v>
      </c>
      <c r="G8" s="4" t="n">
        <v>0.66</v>
      </c>
      <c r="H8" s="4" t="n">
        <v>0.55</v>
      </c>
      <c r="I8" s="4" t="n">
        <v>0.7</v>
      </c>
      <c r="J8" s="4" t="n">
        <v>0.5</v>
      </c>
      <c r="K8" s="4" t="n">
        <v>0.89</v>
      </c>
      <c r="L8" s="4" t="n">
        <v>0.6899999999999999</v>
      </c>
      <c r="M8" s="4" t="n">
        <v>0.65</v>
      </c>
      <c r="N8" s="4" t="n">
        <v>0.48</v>
      </c>
      <c r="O8" s="4" t="n">
        <v>0.64</v>
      </c>
      <c r="P8" s="4" t="n">
        <v>0.44</v>
      </c>
      <c r="Q8" s="4">
        <f>IFERROR(AVERAGE(B8:P8),"NA")</f>
        <v/>
      </c>
    </row>
    <row r="9">
      <c r="A9" s="3" t="inlineStr">
        <is>
          <t>Wulff &amp; Mata</t>
        </is>
      </c>
      <c r="B9" s="9" t="inlineStr">
        <is>
          <t>NA</t>
        </is>
      </c>
      <c r="C9" s="4" t="n">
        <v>0.73</v>
      </c>
      <c r="D9" s="4" t="n">
        <v>0.71</v>
      </c>
      <c r="E9" s="9" t="inlineStr">
        <is>
          <t>NA</t>
        </is>
      </c>
      <c r="F9" s="4" t="n">
        <v>0.75</v>
      </c>
      <c r="G9" s="4" t="n">
        <v>0.79</v>
      </c>
      <c r="H9" s="4" t="n">
        <v>0.79</v>
      </c>
      <c r="I9" s="4" t="n">
        <v>0.87</v>
      </c>
      <c r="J9" s="4" t="n">
        <v>0.9</v>
      </c>
      <c r="K9" s="4" t="n">
        <v>0.78</v>
      </c>
      <c r="L9" s="4" t="n">
        <v>0.8</v>
      </c>
      <c r="M9" s="4" t="n">
        <v>0.57</v>
      </c>
      <c r="N9" s="4" t="n">
        <v>0.6</v>
      </c>
      <c r="O9" s="4" t="n">
        <v>0.84</v>
      </c>
      <c r="P9" s="4" t="n">
        <v>0.63</v>
      </c>
      <c r="Q9" s="4">
        <f>IFERROR(AVERAGE(B9:P9),"NA")</f>
        <v/>
      </c>
    </row>
    <row r="10">
      <c r="A10" s="3" t="inlineStr">
        <is>
          <t>USE-DAN</t>
        </is>
      </c>
      <c r="B10" s="9" t="inlineStr">
        <is>
          <t>NA</t>
        </is>
      </c>
      <c r="C10" s="4" t="n">
        <v>0.75</v>
      </c>
      <c r="D10" s="9" t="inlineStr">
        <is>
          <t>NA</t>
        </is>
      </c>
      <c r="E10" s="4" t="n">
        <v>0.71</v>
      </c>
      <c r="F10" s="4" t="n">
        <v>0.73</v>
      </c>
      <c r="G10" s="4" t="n">
        <v>0.64</v>
      </c>
      <c r="H10" s="4" t="n">
        <v>0.5600000000000001</v>
      </c>
      <c r="I10" s="4" t="n">
        <v>0.65</v>
      </c>
      <c r="J10" s="4" t="n">
        <v>0.58</v>
      </c>
      <c r="K10" s="4" t="n">
        <v>0.53</v>
      </c>
      <c r="L10" s="9" t="inlineStr">
        <is>
          <t>NA</t>
        </is>
      </c>
      <c r="M10" s="4" t="n">
        <v>0.75</v>
      </c>
      <c r="N10" s="4" t="n">
        <v>0.45</v>
      </c>
      <c r="O10" s="4" t="n">
        <v>0.71</v>
      </c>
      <c r="P10" s="9" t="inlineStr">
        <is>
          <t>NA</t>
        </is>
      </c>
      <c r="Q10" s="4">
        <f>IFERROR(AVERAGE(B10:P10),"NA")</f>
        <v/>
      </c>
    </row>
    <row r="11">
      <c r="A11" s="3" t="inlineStr">
        <is>
          <t>Transformers</t>
        </is>
      </c>
      <c r="B11" s="9" t="inlineStr">
        <is>
          <t>NA</t>
        </is>
      </c>
      <c r="C11" s="4" t="n">
        <v>0.76</v>
      </c>
      <c r="D11" s="4" t="n">
        <v>0.68</v>
      </c>
      <c r="E11" s="4" t="n">
        <v>0.75</v>
      </c>
      <c r="F11" s="9" t="inlineStr">
        <is>
          <t>NA</t>
        </is>
      </c>
      <c r="G11" s="4" t="n">
        <v>0.67</v>
      </c>
      <c r="H11" s="4" t="n">
        <v>0.77</v>
      </c>
      <c r="I11" s="4" t="n">
        <v>0.78</v>
      </c>
      <c r="J11" s="4" t="n">
        <v>0.78</v>
      </c>
      <c r="K11" s="4" t="n">
        <v>0.89</v>
      </c>
      <c r="L11" s="4" t="n">
        <v>0.76</v>
      </c>
      <c r="M11" s="4" t="n">
        <v>0.77</v>
      </c>
      <c r="N11" s="4" t="n">
        <v>0.61</v>
      </c>
      <c r="O11" s="4" t="n">
        <v>0.79</v>
      </c>
      <c r="P11" s="4" t="n">
        <v>0.74</v>
      </c>
      <c r="Q11" s="4">
        <f>IFERROR(AVERAGE(B11:P11),"NA")</f>
        <v/>
      </c>
    </row>
    <row r="12">
      <c r="A12" s="5" t="inlineStr">
        <is>
          <t>Overall M</t>
        </is>
      </c>
      <c r="B12" s="6">
        <f>IFERROR(AVERAGE(B5:B11),"NA")</f>
        <v/>
      </c>
      <c r="C12" s="6">
        <f>IFERROR(AVERAGE(C5:C11),"NA")</f>
        <v/>
      </c>
      <c r="D12" s="6">
        <f>IFERROR(AVERAGE(D5:D11),"NA")</f>
        <v/>
      </c>
      <c r="E12" s="6">
        <f>IFERROR(AVERAGE(E5:E11),"NA")</f>
        <v/>
      </c>
      <c r="F12" s="6">
        <f>IFERROR(AVERAGE(F5:F11),"NA")</f>
        <v/>
      </c>
      <c r="G12" s="6">
        <f>IFERROR(AVERAGE(G5:G11),"NA")</f>
        <v/>
      </c>
      <c r="H12" s="6">
        <f>IFERROR(AVERAGE(H5:H11),"NA")</f>
        <v/>
      </c>
      <c r="I12" s="6">
        <f>IFERROR(AVERAGE(I5:I11),"NA")</f>
        <v/>
      </c>
      <c r="J12" s="6">
        <f>IFERROR(AVERAGE(J5:J11),"NA")</f>
        <v/>
      </c>
      <c r="K12" s="6">
        <f>IFERROR(AVERAGE(K5:K11),"NA")</f>
        <v/>
      </c>
      <c r="L12" s="6">
        <f>IFERROR(AVERAGE(L5:L11),"NA")</f>
        <v/>
      </c>
      <c r="M12" s="6">
        <f>IFERROR(AVERAGE(M5:M11),"NA")</f>
        <v/>
      </c>
      <c r="N12" s="6">
        <f>IFERROR(AVERAGE(N5:N11),"NA")</f>
        <v/>
      </c>
      <c r="O12" s="6">
        <f>IFERROR(AVERAGE(O5:O11),"NA")</f>
        <v/>
      </c>
      <c r="P12" s="6">
        <f>IFERROR(AVERAGE(P5:P11),"NA")</f>
        <v/>
      </c>
      <c r="Q12" s="6">
        <f>IFERROR(AVERAGE(B12:P12),"NA")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Table 3. Empirical Correlations Between NEO Empirical and NEO Embedding Transformer Models.</t>
        </is>
      </c>
    </row>
    <row r="3">
      <c r="B3" s="7" t="inlineStr">
        <is>
          <t>Atomic correlations</t>
        </is>
      </c>
      <c r="G3" s="7" t="inlineStr">
        <is>
          <t>Atomic reverse correlations</t>
        </is>
      </c>
      <c r="L3" s="7" t="inlineStr">
        <is>
          <t>Macro correlations</t>
        </is>
      </c>
    </row>
    <row r="4">
      <c r="A4" s="8" t="inlineStr">
        <is>
          <t>Empirical</t>
        </is>
      </c>
      <c r="B4" s="8" t="inlineStr">
        <is>
          <t>AO</t>
        </is>
      </c>
      <c r="C4" s="8" t="inlineStr">
        <is>
          <t>AC</t>
        </is>
      </c>
      <c r="D4" s="8" t="inlineStr">
        <is>
          <t>AE</t>
        </is>
      </c>
      <c r="E4" s="8" t="inlineStr">
        <is>
          <t>AA</t>
        </is>
      </c>
      <c r="F4" s="8" t="inlineStr">
        <is>
          <t>AN</t>
        </is>
      </c>
      <c r="G4" s="8" t="inlineStr">
        <is>
          <t>RO</t>
        </is>
      </c>
      <c r="H4" s="8" t="inlineStr">
        <is>
          <t>RC</t>
        </is>
      </c>
      <c r="I4" s="8" t="inlineStr">
        <is>
          <t>RE</t>
        </is>
      </c>
      <c r="J4" s="8" t="inlineStr">
        <is>
          <t>RA</t>
        </is>
      </c>
      <c r="K4" s="8" t="inlineStr">
        <is>
          <t>RN</t>
        </is>
      </c>
      <c r="L4" s="8" t="inlineStr">
        <is>
          <t>OO</t>
        </is>
      </c>
      <c r="M4" s="8" t="inlineStr">
        <is>
          <t>OC</t>
        </is>
      </c>
      <c r="N4" s="8" t="inlineStr">
        <is>
          <t>OE</t>
        </is>
      </c>
      <c r="O4" s="8" t="inlineStr">
        <is>
          <t>OA</t>
        </is>
      </c>
      <c r="P4" s="8" t="inlineStr">
        <is>
          <t>ON</t>
        </is>
      </c>
    </row>
    <row r="5">
      <c r="A5" s="3" t="inlineStr">
        <is>
          <t>EO</t>
        </is>
      </c>
      <c r="B5" s="10" t="n">
        <v>0.16</v>
      </c>
      <c r="C5" s="10" t="n">
        <v>-0.3</v>
      </c>
      <c r="D5" s="10" t="n">
        <v>-0.18</v>
      </c>
      <c r="E5" s="10" t="n">
        <v>0.25</v>
      </c>
      <c r="F5" s="10" t="n">
        <v>0.08</v>
      </c>
      <c r="G5" s="10" t="n">
        <v>0.57</v>
      </c>
      <c r="H5" s="10" t="n">
        <v>-0.01</v>
      </c>
      <c r="I5" s="10" t="n">
        <v>0.47</v>
      </c>
      <c r="J5" s="10" t="n">
        <v>0.03</v>
      </c>
      <c r="K5" s="10" t="n">
        <v>-0.02</v>
      </c>
      <c r="L5" s="10" t="n">
        <v>0.6899999999999999</v>
      </c>
      <c r="M5" s="10" t="n">
        <v>-0.34</v>
      </c>
      <c r="N5" s="10" t="n">
        <v>-0.17</v>
      </c>
      <c r="O5" s="10" t="n">
        <v>-0.01</v>
      </c>
      <c r="P5" s="10" t="n">
        <v>-0.2</v>
      </c>
    </row>
    <row r="6">
      <c r="A6" s="3" t="inlineStr">
        <is>
          <t>EC</t>
        </is>
      </c>
      <c r="B6" s="10" t="n">
        <v>-0.45</v>
      </c>
      <c r="C6" s="10" t="n">
        <v>0.72</v>
      </c>
      <c r="D6" s="10" t="n">
        <v>0.01</v>
      </c>
      <c r="E6" s="10" t="n">
        <v>-0.15</v>
      </c>
      <c r="F6" s="10" t="n">
        <v>-0.5600000000000001</v>
      </c>
      <c r="G6" s="10" t="n">
        <v>-0.09</v>
      </c>
      <c r="H6" s="10" t="n">
        <v>0.73</v>
      </c>
      <c r="I6" s="10" t="n">
        <v>-0.04</v>
      </c>
      <c r="J6" s="10" t="n">
        <v>0</v>
      </c>
      <c r="K6" s="10" t="n">
        <v>-0.55</v>
      </c>
      <c r="L6" s="10" t="n">
        <v>-0.38</v>
      </c>
      <c r="M6" s="10" t="n">
        <v>0.72</v>
      </c>
      <c r="N6" s="10" t="n">
        <v>0.11</v>
      </c>
      <c r="O6" s="10" t="n">
        <v>-0.11</v>
      </c>
      <c r="P6" s="10" t="n">
        <v>-0.33</v>
      </c>
    </row>
    <row r="7">
      <c r="A7" s="3" t="inlineStr">
        <is>
          <t>EE</t>
        </is>
      </c>
      <c r="B7" s="10" t="n">
        <v>-0.46</v>
      </c>
      <c r="C7" s="10" t="n">
        <v>-0.28</v>
      </c>
      <c r="D7" s="10" t="n">
        <v>0.64</v>
      </c>
      <c r="E7" s="10" t="n">
        <v>0.07000000000000001</v>
      </c>
      <c r="F7" s="10" t="n">
        <v>-0.22</v>
      </c>
      <c r="G7" s="10" t="n">
        <v>0.33</v>
      </c>
      <c r="H7" s="10" t="n">
        <v>0.15</v>
      </c>
      <c r="I7" s="10" t="n">
        <v>0.76</v>
      </c>
      <c r="J7" s="10" t="n">
        <v>-0.12</v>
      </c>
      <c r="K7" s="10" t="n">
        <v>-0.33</v>
      </c>
      <c r="L7" s="10" t="n">
        <v>0.04</v>
      </c>
      <c r="M7" s="10" t="n">
        <v>-0.2</v>
      </c>
      <c r="N7" s="10" t="n">
        <v>0.5600000000000001</v>
      </c>
      <c r="O7" s="10" t="n">
        <v>0.05</v>
      </c>
      <c r="P7" s="10" t="n">
        <v>-0.38</v>
      </c>
    </row>
    <row r="8">
      <c r="A8" s="3" t="inlineStr">
        <is>
          <t>EA</t>
        </is>
      </c>
      <c r="B8" s="10" t="n">
        <v>-0.45</v>
      </c>
      <c r="C8" s="10" t="n">
        <v>-0.01</v>
      </c>
      <c r="D8" s="10" t="n">
        <v>-0.2</v>
      </c>
      <c r="E8" s="10" t="n">
        <v>0.67</v>
      </c>
      <c r="F8" s="10" t="n">
        <v>0.21</v>
      </c>
      <c r="G8" s="10" t="n">
        <v>-0.14</v>
      </c>
      <c r="H8" s="10" t="n">
        <v>0.35</v>
      </c>
      <c r="I8" s="10" t="n">
        <v>-0.34</v>
      </c>
      <c r="J8" s="10" t="n">
        <v>0.75</v>
      </c>
      <c r="K8" s="10" t="n">
        <v>-0.38</v>
      </c>
      <c r="L8" s="10" t="n">
        <v>-0.19</v>
      </c>
      <c r="M8" s="10" t="n">
        <v>-0.07000000000000001</v>
      </c>
      <c r="N8" s="10" t="n">
        <v>-0.17</v>
      </c>
      <c r="O8" s="10" t="n">
        <v>0.74</v>
      </c>
      <c r="P8" s="10" t="n">
        <v>-0.3</v>
      </c>
    </row>
    <row r="9">
      <c r="A9" s="5" t="inlineStr">
        <is>
          <t>EN</t>
        </is>
      </c>
      <c r="B9" s="11" t="n">
        <v>0.72</v>
      </c>
      <c r="C9" s="11" t="n">
        <v>-0.32</v>
      </c>
      <c r="D9" s="11" t="n">
        <v>-0.27</v>
      </c>
      <c r="E9" s="11" t="n">
        <v>-0.22</v>
      </c>
      <c r="F9" s="11" t="n">
        <v>0.62</v>
      </c>
      <c r="G9" s="11" t="n">
        <v>0.11</v>
      </c>
      <c r="H9" s="11" t="n">
        <v>-0.54</v>
      </c>
      <c r="I9" s="11" t="n">
        <v>-0.29</v>
      </c>
      <c r="J9" s="11" t="n">
        <v>-0.3</v>
      </c>
      <c r="K9" s="11" t="n">
        <v>0.89</v>
      </c>
      <c r="L9" s="11" t="n">
        <v>0.06</v>
      </c>
      <c r="M9" s="11" t="n">
        <v>-0.38</v>
      </c>
      <c r="N9" s="11" t="n">
        <v>-0.32</v>
      </c>
      <c r="O9" s="11" t="n">
        <v>-0.13</v>
      </c>
      <c r="P9" s="11" t="n">
        <v>0.74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Table 4. HEXACO Embedding Factor Structures Using Transformer Averages for Atomic Encoding.</t>
        </is>
      </c>
    </row>
    <row r="3">
      <c r="A3" s="2" t="inlineStr">
        <is>
          <t>Facet</t>
        </is>
      </c>
      <c r="B3" s="2" t="inlineStr">
        <is>
          <t>H</t>
        </is>
      </c>
      <c r="C3" s="2" t="inlineStr">
        <is>
          <t>E</t>
        </is>
      </c>
      <c r="D3" s="2" t="inlineStr">
        <is>
          <t>X</t>
        </is>
      </c>
      <c r="E3" s="2" t="inlineStr">
        <is>
          <t>A</t>
        </is>
      </c>
      <c r="F3" s="2" t="inlineStr">
        <is>
          <t>C</t>
        </is>
      </c>
      <c r="G3" s="2" t="inlineStr">
        <is>
          <t>O</t>
        </is>
      </c>
    </row>
    <row r="4">
      <c r="A4" s="3" t="inlineStr">
        <is>
          <t>Sinc</t>
        </is>
      </c>
      <c r="B4" s="4" t="n">
        <v>0.79</v>
      </c>
      <c r="C4" s="4" t="n">
        <v>0.07000000000000001</v>
      </c>
      <c r="D4" s="4" t="n">
        <v>0.11</v>
      </c>
      <c r="E4" s="4" t="n">
        <v>0.01</v>
      </c>
      <c r="F4" s="4" t="n">
        <v>0.13</v>
      </c>
      <c r="G4" s="4" t="n">
        <v>-0.19</v>
      </c>
    </row>
    <row r="5">
      <c r="A5" s="3" t="inlineStr">
        <is>
          <t>Fair</t>
        </is>
      </c>
      <c r="B5" s="4" t="n">
        <v>0.59</v>
      </c>
      <c r="C5" s="4" t="n">
        <v>0.08</v>
      </c>
      <c r="D5" s="4" t="n">
        <v>-0.31</v>
      </c>
      <c r="E5" s="4" t="n">
        <v>0.19</v>
      </c>
      <c r="F5" s="4" t="n">
        <v>0.36</v>
      </c>
      <c r="G5" s="4" t="n">
        <v>-0.04</v>
      </c>
    </row>
    <row r="6">
      <c r="A6" s="3" t="inlineStr">
        <is>
          <t>Gree</t>
        </is>
      </c>
      <c r="B6" s="4" t="n">
        <v>0.72</v>
      </c>
      <c r="C6" s="4" t="n">
        <v>-0.04</v>
      </c>
      <c r="D6" s="4" t="n">
        <v>-0.02</v>
      </c>
      <c r="E6" s="4" t="n">
        <v>-0.08</v>
      </c>
      <c r="F6" s="4" t="n">
        <v>0.14</v>
      </c>
      <c r="G6" s="4" t="n">
        <v>0.16</v>
      </c>
    </row>
    <row r="7">
      <c r="A7" s="3" t="inlineStr">
        <is>
          <t>Mode</t>
        </is>
      </c>
      <c r="B7" s="4" t="n">
        <v>0.73</v>
      </c>
      <c r="C7" s="4" t="n">
        <v>-0.07000000000000001</v>
      </c>
      <c r="D7" s="4" t="n">
        <v>0.19</v>
      </c>
      <c r="E7" s="4" t="n">
        <v>-0.05</v>
      </c>
      <c r="F7" s="4" t="n">
        <v>-0.05</v>
      </c>
      <c r="G7" s="4" t="n">
        <v>0.13</v>
      </c>
    </row>
    <row r="8">
      <c r="A8" s="3" t="inlineStr">
        <is>
          <t>Fear</t>
        </is>
      </c>
      <c r="B8" s="4" t="n">
        <v>0.02</v>
      </c>
      <c r="C8" s="4" t="n">
        <v>0.16</v>
      </c>
      <c r="D8" s="4" t="n">
        <v>0.29</v>
      </c>
      <c r="E8" s="4" t="n">
        <v>-0.06</v>
      </c>
      <c r="F8" s="4" t="n">
        <v>0.22</v>
      </c>
      <c r="G8" s="4" t="n">
        <v>0.22</v>
      </c>
    </row>
    <row r="9">
      <c r="A9" s="3" t="inlineStr">
        <is>
          <t>Anxi</t>
        </is>
      </c>
      <c r="B9" s="4" t="n">
        <v>-0.35</v>
      </c>
      <c r="C9" s="4" t="n">
        <v>0.51</v>
      </c>
      <c r="D9" s="4" t="n">
        <v>0.26</v>
      </c>
      <c r="E9" s="4" t="n">
        <v>0.17</v>
      </c>
      <c r="F9" s="4" t="n">
        <v>0.39</v>
      </c>
      <c r="G9" s="4" t="n">
        <v>-0.03</v>
      </c>
    </row>
    <row r="10">
      <c r="A10" s="3" t="inlineStr">
        <is>
          <t>Depe</t>
        </is>
      </c>
      <c r="B10" s="4" t="n">
        <v>0.35</v>
      </c>
      <c r="C10" s="4" t="n">
        <v>0.42</v>
      </c>
      <c r="D10" s="4" t="n">
        <v>0.2</v>
      </c>
      <c r="E10" s="4" t="n">
        <v>-0.13</v>
      </c>
      <c r="F10" s="4" t="n">
        <v>0.17</v>
      </c>
      <c r="G10" s="4" t="n">
        <v>-0.09</v>
      </c>
    </row>
    <row r="11">
      <c r="A11" s="3" t="inlineStr">
        <is>
          <t>Sent</t>
        </is>
      </c>
      <c r="B11" s="4" t="n">
        <v>0.04</v>
      </c>
      <c r="C11" s="4" t="n">
        <v>1.13</v>
      </c>
      <c r="D11" s="4" t="n">
        <v>-0.04</v>
      </c>
      <c r="E11" s="4" t="n">
        <v>-0.07000000000000001</v>
      </c>
      <c r="F11" s="4" t="n">
        <v>-0.18</v>
      </c>
      <c r="G11" s="4" t="n">
        <v>0.04</v>
      </c>
    </row>
    <row r="12">
      <c r="A12" s="3" t="inlineStr">
        <is>
          <t>Expr</t>
        </is>
      </c>
      <c r="B12" s="4" t="n">
        <v>0</v>
      </c>
      <c r="C12" s="4" t="n">
        <v>0.21</v>
      </c>
      <c r="D12" s="4" t="n">
        <v>0.83</v>
      </c>
      <c r="E12" s="4" t="n">
        <v>0.01</v>
      </c>
      <c r="F12" s="4" t="n">
        <v>-0.15</v>
      </c>
      <c r="G12" s="4" t="n">
        <v>0.01</v>
      </c>
    </row>
    <row r="13">
      <c r="A13" s="3" t="inlineStr">
        <is>
          <t>SocB</t>
        </is>
      </c>
      <c r="B13" s="4" t="n">
        <v>0.09</v>
      </c>
      <c r="C13" s="4" t="n">
        <v>0.11</v>
      </c>
      <c r="D13" s="4" t="n">
        <v>0.98</v>
      </c>
      <c r="E13" s="4" t="n">
        <v>-0.12</v>
      </c>
      <c r="F13" s="4" t="n">
        <v>-0.18</v>
      </c>
      <c r="G13" s="4" t="n">
        <v>0.07000000000000001</v>
      </c>
    </row>
    <row r="14">
      <c r="A14" s="3" t="inlineStr">
        <is>
          <t>Soci</t>
        </is>
      </c>
      <c r="B14" s="4" t="n">
        <v>0.04</v>
      </c>
      <c r="C14" s="4" t="n">
        <v>0.19</v>
      </c>
      <c r="D14" s="4" t="n">
        <v>0.74</v>
      </c>
      <c r="E14" s="4" t="n">
        <v>0.18</v>
      </c>
      <c r="F14" s="4" t="n">
        <v>-0.25</v>
      </c>
      <c r="G14" s="4" t="n">
        <v>-0.01</v>
      </c>
    </row>
    <row r="15">
      <c r="A15" s="3" t="inlineStr">
        <is>
          <t>Live</t>
        </is>
      </c>
      <c r="B15" s="4" t="n">
        <v>-0.15</v>
      </c>
      <c r="C15" s="4" t="n">
        <v>0.21</v>
      </c>
      <c r="D15" s="4" t="n">
        <v>0.64</v>
      </c>
      <c r="E15" s="4" t="n">
        <v>0.04</v>
      </c>
      <c r="F15" s="4" t="n">
        <v>0.23</v>
      </c>
      <c r="G15" s="4" t="n">
        <v>-0.09</v>
      </c>
    </row>
    <row r="16">
      <c r="A16" s="3" t="inlineStr">
        <is>
          <t>Forg</t>
        </is>
      </c>
      <c r="B16" s="4" t="n">
        <v>0.24</v>
      </c>
      <c r="C16" s="4" t="n">
        <v>-0.03</v>
      </c>
      <c r="D16" s="4" t="n">
        <v>-0.06</v>
      </c>
      <c r="E16" s="4" t="n">
        <v>0.93</v>
      </c>
      <c r="F16" s="4" t="n">
        <v>-0.17</v>
      </c>
      <c r="G16" s="4" t="n">
        <v>-0.03</v>
      </c>
    </row>
    <row r="17">
      <c r="A17" s="3" t="inlineStr">
        <is>
          <t>Gent</t>
        </is>
      </c>
      <c r="B17" s="4" t="n">
        <v>0.22</v>
      </c>
      <c r="C17" s="4" t="n">
        <v>-0.12</v>
      </c>
      <c r="D17" s="4" t="n">
        <v>-0.06</v>
      </c>
      <c r="E17" s="4" t="n">
        <v>0.9399999999999999</v>
      </c>
      <c r="F17" s="4" t="n">
        <v>-0.09</v>
      </c>
      <c r="G17" s="4" t="n">
        <v>0.02</v>
      </c>
    </row>
    <row r="18">
      <c r="A18" s="3" t="inlineStr">
        <is>
          <t>Flex</t>
        </is>
      </c>
      <c r="B18" s="4" t="n">
        <v>-0.03</v>
      </c>
      <c r="C18" s="4" t="n">
        <v>-0.07000000000000001</v>
      </c>
      <c r="D18" s="4" t="n">
        <v>0.06</v>
      </c>
      <c r="E18" s="4" t="n">
        <v>0.89</v>
      </c>
      <c r="F18" s="4" t="n">
        <v>0.01</v>
      </c>
      <c r="G18" s="4" t="n">
        <v>0.07000000000000001</v>
      </c>
    </row>
    <row r="19">
      <c r="A19" s="3" t="inlineStr">
        <is>
          <t>Pati</t>
        </is>
      </c>
      <c r="B19" s="4" t="n">
        <v>-0.36</v>
      </c>
      <c r="C19" s="4" t="n">
        <v>0.12</v>
      </c>
      <c r="D19" s="4" t="n">
        <v>0.16</v>
      </c>
      <c r="E19" s="4" t="n">
        <v>0.93</v>
      </c>
      <c r="F19" s="4" t="n">
        <v>0.11</v>
      </c>
      <c r="G19" s="4" t="n">
        <v>-0.07000000000000001</v>
      </c>
    </row>
    <row r="20">
      <c r="A20" s="3" t="inlineStr">
        <is>
          <t>Orga</t>
        </is>
      </c>
      <c r="B20" s="4" t="n">
        <v>0.11</v>
      </c>
      <c r="C20" s="4" t="n">
        <v>0.2</v>
      </c>
      <c r="D20" s="4" t="n">
        <v>-0.1</v>
      </c>
      <c r="E20" s="4" t="n">
        <v>-0.09</v>
      </c>
      <c r="F20" s="4" t="n">
        <v>0.82</v>
      </c>
      <c r="G20" s="4" t="n">
        <v>-0.05</v>
      </c>
    </row>
    <row r="21">
      <c r="A21" s="3" t="inlineStr">
        <is>
          <t>Dili</t>
        </is>
      </c>
      <c r="B21" s="4" t="n">
        <v>0.14</v>
      </c>
      <c r="C21" s="4" t="n">
        <v>0.2</v>
      </c>
      <c r="D21" s="4" t="n">
        <v>0.1</v>
      </c>
      <c r="E21" s="4" t="n">
        <v>-0.19</v>
      </c>
      <c r="F21" s="4" t="n">
        <v>0.82</v>
      </c>
      <c r="G21" s="4" t="n">
        <v>-0.16</v>
      </c>
    </row>
    <row r="22">
      <c r="A22" s="3" t="inlineStr">
        <is>
          <t>Perf</t>
        </is>
      </c>
      <c r="B22" s="4" t="n">
        <v>0.15</v>
      </c>
      <c r="C22" s="4" t="n">
        <v>0.06</v>
      </c>
      <c r="D22" s="4" t="n">
        <v>-0.28</v>
      </c>
      <c r="E22" s="4" t="n">
        <v>0.06</v>
      </c>
      <c r="F22" s="4" t="n">
        <v>0.6</v>
      </c>
      <c r="G22" s="4" t="n">
        <v>0.27</v>
      </c>
    </row>
    <row r="23">
      <c r="A23" s="3" t="inlineStr">
        <is>
          <t>Prud</t>
        </is>
      </c>
      <c r="B23" s="4" t="n">
        <v>0.18</v>
      </c>
      <c r="C23" s="4" t="n">
        <v>0.14</v>
      </c>
      <c r="D23" s="4" t="n">
        <v>-0.09</v>
      </c>
      <c r="E23" s="4" t="n">
        <v>0.06</v>
      </c>
      <c r="F23" s="4" t="n">
        <v>0.68</v>
      </c>
      <c r="G23" s="4" t="n">
        <v>-0.03</v>
      </c>
    </row>
    <row r="24">
      <c r="A24" s="3" t="inlineStr">
        <is>
          <t>AesA</t>
        </is>
      </c>
      <c r="B24" s="4" t="n">
        <v>-0.05</v>
      </c>
      <c r="C24" s="4" t="n">
        <v>0.31</v>
      </c>
      <c r="D24" s="4" t="n">
        <v>-0.17</v>
      </c>
      <c r="E24" s="4" t="n">
        <v>-0.03</v>
      </c>
      <c r="F24" s="4" t="n">
        <v>-0.1</v>
      </c>
      <c r="G24" s="4" t="n">
        <v>0.85</v>
      </c>
    </row>
    <row r="25">
      <c r="A25" s="3" t="inlineStr">
        <is>
          <t>Inqu</t>
        </is>
      </c>
      <c r="B25" s="4" t="n">
        <v>-0.16</v>
      </c>
      <c r="C25" s="4" t="n">
        <v>-0.04</v>
      </c>
      <c r="D25" s="4" t="n">
        <v>-0.06</v>
      </c>
      <c r="E25" s="4" t="n">
        <v>-0.07000000000000001</v>
      </c>
      <c r="F25" s="4" t="n">
        <v>0.02</v>
      </c>
      <c r="G25" s="4" t="n">
        <v>1.12</v>
      </c>
    </row>
    <row r="26">
      <c r="A26" s="3" t="inlineStr">
        <is>
          <t>Crea</t>
        </is>
      </c>
      <c r="B26" s="4" t="n">
        <v>-0.09</v>
      </c>
      <c r="C26" s="4" t="n">
        <v>-0.04</v>
      </c>
      <c r="D26" s="4" t="n">
        <v>0.08</v>
      </c>
      <c r="E26" s="4" t="n">
        <v>-0.05</v>
      </c>
      <c r="F26" s="4" t="n">
        <v>0.12</v>
      </c>
      <c r="G26" s="4" t="n">
        <v>0.82</v>
      </c>
    </row>
    <row r="27">
      <c r="A27" s="5" t="inlineStr">
        <is>
          <t>Unco</t>
        </is>
      </c>
      <c r="B27" s="6" t="n">
        <v>0.31</v>
      </c>
      <c r="C27" s="6" t="n">
        <v>-0.12</v>
      </c>
      <c r="D27" s="6" t="n">
        <v>0.07000000000000001</v>
      </c>
      <c r="E27" s="6" t="n">
        <v>0.09</v>
      </c>
      <c r="F27" s="6" t="n">
        <v>-0.05</v>
      </c>
      <c r="G27" s="6" t="n">
        <v>0.58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Table 5. Congruence Between HEXACO Empirical and HEXACO Embedding Transformer Models.</t>
        </is>
      </c>
    </row>
    <row r="3">
      <c r="B3" s="7" t="inlineStr">
        <is>
          <t>Atomic congruence</t>
        </is>
      </c>
      <c r="H3" s="7" t="inlineStr">
        <is>
          <t>Atomic reverse congruence</t>
        </is>
      </c>
      <c r="N3" s="7" t="inlineStr">
        <is>
          <t>Macro congruence</t>
        </is>
      </c>
      <c r="T3" s="7" t="inlineStr">
        <is>
          <t>M</t>
        </is>
      </c>
    </row>
    <row r="4">
      <c r="A4" s="8" t="inlineStr">
        <is>
          <t>Model</t>
        </is>
      </c>
      <c r="B4" s="8" t="inlineStr">
        <is>
          <t>H</t>
        </is>
      </c>
      <c r="C4" s="8" t="inlineStr">
        <is>
          <t>E</t>
        </is>
      </c>
      <c r="D4" s="8" t="inlineStr">
        <is>
          <t>X</t>
        </is>
      </c>
      <c r="E4" s="8" t="inlineStr">
        <is>
          <t>A</t>
        </is>
      </c>
      <c r="F4" s="8" t="inlineStr">
        <is>
          <t>C</t>
        </is>
      </c>
      <c r="G4" s="8" t="inlineStr">
        <is>
          <t>O</t>
        </is>
      </c>
      <c r="H4" s="8" t="inlineStr">
        <is>
          <t>H</t>
        </is>
      </c>
      <c r="I4" s="8" t="inlineStr">
        <is>
          <t>E</t>
        </is>
      </c>
      <c r="J4" s="8" t="inlineStr">
        <is>
          <t>X</t>
        </is>
      </c>
      <c r="K4" s="8" t="inlineStr">
        <is>
          <t>A</t>
        </is>
      </c>
      <c r="L4" s="8" t="inlineStr">
        <is>
          <t>C</t>
        </is>
      </c>
      <c r="M4" s="8" t="inlineStr">
        <is>
          <t>O</t>
        </is>
      </c>
      <c r="N4" s="8" t="inlineStr">
        <is>
          <t>H</t>
        </is>
      </c>
      <c r="O4" s="8" t="inlineStr">
        <is>
          <t>E</t>
        </is>
      </c>
      <c r="P4" s="8" t="inlineStr">
        <is>
          <t>X</t>
        </is>
      </c>
      <c r="Q4" s="8" t="inlineStr">
        <is>
          <t>A</t>
        </is>
      </c>
      <c r="R4" s="8" t="inlineStr">
        <is>
          <t>C</t>
        </is>
      </c>
      <c r="S4" s="8" t="inlineStr">
        <is>
          <t>O</t>
        </is>
      </c>
      <c r="T4" s="8" t="inlineStr">
        <is>
          <t>M</t>
        </is>
      </c>
    </row>
    <row r="5">
      <c r="A5" s="3" t="inlineStr">
        <is>
          <t>D_RoBERTa</t>
        </is>
      </c>
      <c r="B5" s="10" t="n">
        <v>0.74</v>
      </c>
      <c r="C5" s="10" t="n">
        <v>0.47</v>
      </c>
      <c r="D5" s="10" t="n">
        <v>0.67</v>
      </c>
      <c r="E5" s="10" t="n">
        <v>0.7</v>
      </c>
      <c r="F5" s="10" t="n">
        <v>0.91</v>
      </c>
      <c r="G5" s="10" t="n">
        <v>0.78</v>
      </c>
      <c r="H5" s="10" t="n">
        <v>0.63</v>
      </c>
      <c r="I5" s="10" t="n">
        <v>0.58</v>
      </c>
      <c r="J5" s="10" t="n">
        <v>0.76</v>
      </c>
      <c r="K5" s="10" t="n">
        <v>0.75</v>
      </c>
      <c r="L5" s="10" t="n">
        <v>0.83</v>
      </c>
      <c r="M5" s="10" t="n">
        <v>0.72</v>
      </c>
      <c r="N5" s="10" t="n">
        <v>0.82</v>
      </c>
      <c r="O5" s="9" t="inlineStr">
        <is>
          <t>NA</t>
        </is>
      </c>
      <c r="P5" s="10" t="n">
        <v>0.66</v>
      </c>
      <c r="Q5" s="9" t="inlineStr">
        <is>
          <t>NA</t>
        </is>
      </c>
      <c r="R5" s="10" t="n">
        <v>0.89</v>
      </c>
      <c r="S5" s="10" t="n">
        <v>0.76</v>
      </c>
      <c r="T5" s="10">
        <f>IFERROR(AVERAGE(B5:S5),"NA")</f>
        <v/>
      </c>
    </row>
    <row r="6">
      <c r="A6" s="3" t="inlineStr">
        <is>
          <t>MiniLM</t>
        </is>
      </c>
      <c r="B6" s="10" t="n">
        <v>0.6899999999999999</v>
      </c>
      <c r="C6" s="10" t="n">
        <v>0.46</v>
      </c>
      <c r="D6" s="10" t="n">
        <v>0.71</v>
      </c>
      <c r="E6" s="10" t="n">
        <v>0.68</v>
      </c>
      <c r="F6" s="10" t="n">
        <v>0.88</v>
      </c>
      <c r="G6" s="10" t="n">
        <v>0.72</v>
      </c>
      <c r="H6" s="10" t="n">
        <v>0.58</v>
      </c>
      <c r="I6" s="10" t="n">
        <v>0.54</v>
      </c>
      <c r="J6" s="10" t="n">
        <v>0.58</v>
      </c>
      <c r="K6" s="9" t="inlineStr">
        <is>
          <t>NA</t>
        </is>
      </c>
      <c r="L6" s="10" t="n">
        <v>0.53</v>
      </c>
      <c r="M6" s="9" t="inlineStr">
        <is>
          <t>NA</t>
        </is>
      </c>
      <c r="N6" s="10" t="n">
        <v>0.71</v>
      </c>
      <c r="O6" s="10" t="n">
        <v>0.5</v>
      </c>
      <c r="P6" s="10" t="n">
        <v>0.79</v>
      </c>
      <c r="Q6" s="10" t="n">
        <v>0.62</v>
      </c>
      <c r="R6" s="10" t="n">
        <v>0.92</v>
      </c>
      <c r="S6" s="10" t="n">
        <v>0.74</v>
      </c>
      <c r="T6" s="10">
        <f>IFERROR(AVERAGE(B6:S6),"NA")</f>
        <v/>
      </c>
    </row>
    <row r="7">
      <c r="A7" s="3" t="inlineStr">
        <is>
          <t>MPNet</t>
        </is>
      </c>
      <c r="B7" s="10" t="n">
        <v>0.71</v>
      </c>
      <c r="C7" s="10" t="n">
        <v>0.45</v>
      </c>
      <c r="D7" s="10" t="n">
        <v>0.54</v>
      </c>
      <c r="E7" s="10" t="n">
        <v>0.8100000000000001</v>
      </c>
      <c r="F7" s="10" t="n">
        <v>0.86</v>
      </c>
      <c r="G7" s="10" t="n">
        <v>0.76</v>
      </c>
      <c r="H7" s="10" t="n">
        <v>0.63</v>
      </c>
      <c r="I7" s="10" t="n">
        <v>0.63</v>
      </c>
      <c r="J7" s="10" t="n">
        <v>0.77</v>
      </c>
      <c r="K7" s="10" t="n">
        <v>0.79</v>
      </c>
      <c r="L7" s="10" t="n">
        <v>0.86</v>
      </c>
      <c r="M7" s="10" t="n">
        <v>0.38</v>
      </c>
      <c r="N7" s="10" t="n">
        <v>0.72</v>
      </c>
      <c r="O7" s="10" t="n">
        <v>0.57</v>
      </c>
      <c r="P7" s="10" t="n">
        <v>0.64</v>
      </c>
      <c r="Q7" s="10" t="n">
        <v>0.71</v>
      </c>
      <c r="R7" s="10" t="n">
        <v>0.89</v>
      </c>
      <c r="S7" s="10" t="n">
        <v>0.74</v>
      </c>
      <c r="T7" s="10">
        <f>IFERROR(AVERAGE(B7:S7),"NA")</f>
        <v/>
      </c>
    </row>
    <row r="8">
      <c r="A8" s="3" t="inlineStr">
        <is>
          <t>T5</t>
        </is>
      </c>
      <c r="B8" s="10" t="n">
        <v>0.75</v>
      </c>
      <c r="C8" s="9" t="inlineStr">
        <is>
          <t>NA</t>
        </is>
      </c>
      <c r="D8" s="9" t="inlineStr">
        <is>
          <t>NA</t>
        </is>
      </c>
      <c r="E8" s="10" t="n">
        <v>0.78</v>
      </c>
      <c r="F8" s="10" t="n">
        <v>0.89</v>
      </c>
      <c r="G8" s="10" t="n">
        <v>0.7</v>
      </c>
      <c r="H8" s="10" t="n">
        <v>0.66</v>
      </c>
      <c r="I8" s="10" t="n">
        <v>0.6899999999999999</v>
      </c>
      <c r="J8" s="10" t="n">
        <v>0.8100000000000001</v>
      </c>
      <c r="K8" s="10" t="n">
        <v>0.72</v>
      </c>
      <c r="L8" s="10" t="n">
        <v>0.71</v>
      </c>
      <c r="M8" s="10" t="n">
        <v>0.62</v>
      </c>
      <c r="N8" s="10" t="n">
        <v>0.74</v>
      </c>
      <c r="O8" s="9" t="inlineStr">
        <is>
          <t>NA</t>
        </is>
      </c>
      <c r="P8" s="9" t="inlineStr">
        <is>
          <t>NA</t>
        </is>
      </c>
      <c r="Q8" s="10" t="n">
        <v>0.78</v>
      </c>
      <c r="R8" s="10" t="n">
        <v>0.9</v>
      </c>
      <c r="S8" s="10" t="n">
        <v>0.78</v>
      </c>
      <c r="T8" s="10">
        <f>IFERROR(AVERAGE(B8:S8),"NA")</f>
        <v/>
      </c>
    </row>
    <row r="9">
      <c r="A9" s="3" t="inlineStr">
        <is>
          <t>Wulff &amp; Mata</t>
        </is>
      </c>
      <c r="B9" s="10" t="n">
        <v>0.73</v>
      </c>
      <c r="C9" s="10" t="n">
        <v>0.66</v>
      </c>
      <c r="D9" s="10" t="n">
        <v>0.79</v>
      </c>
      <c r="E9" s="10" t="n">
        <v>0.84</v>
      </c>
      <c r="F9" s="10" t="n">
        <v>0.85</v>
      </c>
      <c r="G9" s="10" t="n">
        <v>0.73</v>
      </c>
      <c r="H9" s="10" t="n">
        <v>0.93</v>
      </c>
      <c r="I9" s="10" t="n">
        <v>0.83</v>
      </c>
      <c r="J9" s="10" t="n">
        <v>0.8100000000000001</v>
      </c>
      <c r="K9" s="10" t="n">
        <v>0.85</v>
      </c>
      <c r="L9" s="10" t="n">
        <v>0.9399999999999999</v>
      </c>
      <c r="M9" s="10" t="n">
        <v>0.78</v>
      </c>
      <c r="N9" s="10" t="n">
        <v>0.8100000000000001</v>
      </c>
      <c r="O9" s="10" t="n">
        <v>0.55</v>
      </c>
      <c r="P9" s="10" t="n">
        <v>0.84</v>
      </c>
      <c r="Q9" s="10" t="n">
        <v>0.8</v>
      </c>
      <c r="R9" s="10" t="n">
        <v>0.83</v>
      </c>
      <c r="S9" s="10" t="n">
        <v>0.65</v>
      </c>
      <c r="T9" s="10">
        <f>IFERROR(AVERAGE(B9:S9),"NA")</f>
        <v/>
      </c>
    </row>
    <row r="10">
      <c r="A10" s="3" t="inlineStr">
        <is>
          <t>USE-DAN</t>
        </is>
      </c>
      <c r="B10" s="10" t="n">
        <v>0.78</v>
      </c>
      <c r="C10" s="10" t="n">
        <v>0.49</v>
      </c>
      <c r="D10" s="10" t="n">
        <v>0.66</v>
      </c>
      <c r="E10" s="10" t="n">
        <v>0.73</v>
      </c>
      <c r="F10" s="10" t="n">
        <v>0.86</v>
      </c>
      <c r="G10" s="10" t="n">
        <v>0.6</v>
      </c>
      <c r="H10" s="10" t="n">
        <v>0.67</v>
      </c>
      <c r="I10" s="10" t="n">
        <v>0.43</v>
      </c>
      <c r="J10" s="10" t="n">
        <v>0.78</v>
      </c>
      <c r="K10" s="10" t="n">
        <v>0.72</v>
      </c>
      <c r="L10" s="10" t="n">
        <v>0.79</v>
      </c>
      <c r="M10" s="10" t="n">
        <v>0.5</v>
      </c>
      <c r="N10" s="10" t="n">
        <v>0.7</v>
      </c>
      <c r="O10" s="10" t="n">
        <v>0.5600000000000001</v>
      </c>
      <c r="P10" s="9" t="inlineStr">
        <is>
          <t>NA</t>
        </is>
      </c>
      <c r="Q10" s="10" t="n">
        <v>0.74</v>
      </c>
      <c r="R10" s="10" t="n">
        <v>0.84</v>
      </c>
      <c r="S10" s="9" t="inlineStr">
        <is>
          <t>NA</t>
        </is>
      </c>
      <c r="T10" s="10">
        <f>IFERROR(AVERAGE(B10:S10),"NA")</f>
        <v/>
      </c>
    </row>
    <row r="11">
      <c r="A11" s="3" t="inlineStr">
        <is>
          <t>Transformers</t>
        </is>
      </c>
      <c r="B11" s="10" t="n">
        <v>0.86</v>
      </c>
      <c r="C11" s="10" t="n">
        <v>0.73</v>
      </c>
      <c r="D11" s="10" t="n">
        <v>0.8</v>
      </c>
      <c r="E11" s="10" t="n">
        <v>0.88</v>
      </c>
      <c r="F11" s="10" t="n">
        <v>0.91</v>
      </c>
      <c r="G11" s="10" t="n">
        <v>0.82</v>
      </c>
      <c r="H11" s="10" t="n">
        <v>0.7</v>
      </c>
      <c r="I11" s="10" t="n">
        <v>0.8100000000000001</v>
      </c>
      <c r="J11" s="10" t="n">
        <v>0.76</v>
      </c>
      <c r="K11" s="10" t="n">
        <v>0.8</v>
      </c>
      <c r="L11" s="10" t="n">
        <v>0.9</v>
      </c>
      <c r="M11" s="10" t="n">
        <v>0.46</v>
      </c>
      <c r="N11" s="10" t="n">
        <v>0.84</v>
      </c>
      <c r="O11" s="10" t="n">
        <v>0.49</v>
      </c>
      <c r="P11" s="10" t="n">
        <v>0.8</v>
      </c>
      <c r="Q11" s="10" t="n">
        <v>0.79</v>
      </c>
      <c r="R11" s="10" t="n">
        <v>0.92</v>
      </c>
      <c r="S11" s="10" t="n">
        <v>0.75</v>
      </c>
      <c r="T11" s="10">
        <f>IFERROR(AVERAGE(B11:S11),"NA")</f>
        <v/>
      </c>
    </row>
    <row r="12">
      <c r="A12" s="5" t="inlineStr">
        <is>
          <t>Overall M</t>
        </is>
      </c>
      <c r="B12" s="11">
        <f>IFERROR(AVERAGE(B5:B11),"NA")</f>
        <v/>
      </c>
      <c r="C12" s="11">
        <f>IFERROR(AVERAGE(C5:C11),"NA")</f>
        <v/>
      </c>
      <c r="D12" s="11">
        <f>IFERROR(AVERAGE(D5:D11),"NA")</f>
        <v/>
      </c>
      <c r="E12" s="11">
        <f>IFERROR(AVERAGE(E5:E11),"NA")</f>
        <v/>
      </c>
      <c r="F12" s="11">
        <f>IFERROR(AVERAGE(F5:F11),"NA")</f>
        <v/>
      </c>
      <c r="G12" s="11">
        <f>IFERROR(AVERAGE(G5:G11),"NA")</f>
        <v/>
      </c>
      <c r="H12" s="11">
        <f>IFERROR(AVERAGE(H5:H11),"NA")</f>
        <v/>
      </c>
      <c r="I12" s="11">
        <f>IFERROR(AVERAGE(I5:I11),"NA")</f>
        <v/>
      </c>
      <c r="J12" s="11">
        <f>IFERROR(AVERAGE(J5:J11),"NA")</f>
        <v/>
      </c>
      <c r="K12" s="11">
        <f>IFERROR(AVERAGE(K5:K11),"NA")</f>
        <v/>
      </c>
      <c r="L12" s="11">
        <f>IFERROR(AVERAGE(L5:L11),"NA")</f>
        <v/>
      </c>
      <c r="M12" s="11">
        <f>IFERROR(AVERAGE(M5:M11),"NA")</f>
        <v/>
      </c>
      <c r="N12" s="11">
        <f>IFERROR(AVERAGE(N5:N11),"NA")</f>
        <v/>
      </c>
      <c r="O12" s="11">
        <f>IFERROR(AVERAGE(O5:O11),"NA")</f>
        <v/>
      </c>
      <c r="P12" s="11">
        <f>IFERROR(AVERAGE(P5:P11),"NA")</f>
        <v/>
      </c>
      <c r="Q12" s="11">
        <f>IFERROR(AVERAGE(Q5:Q11),"NA")</f>
        <v/>
      </c>
      <c r="R12" s="11">
        <f>IFERROR(AVERAGE(R5:R11),"NA")</f>
        <v/>
      </c>
      <c r="S12" s="11">
        <f>IFERROR(AVERAGE(S5:S11),"NA")</f>
        <v/>
      </c>
      <c r="T12" s="11">
        <f>IFERROR(AVERAGE(B12:S12),"NA")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Table 6. Correlations Between HEXACO Empirical and HEXACO Embedding Transformer Models.</t>
        </is>
      </c>
    </row>
    <row r="3">
      <c r="B3" s="7" t="inlineStr">
        <is>
          <t>Atomic correlations</t>
        </is>
      </c>
      <c r="H3" s="7" t="inlineStr">
        <is>
          <t>Atomic reverse correlations</t>
        </is>
      </c>
      <c r="N3" s="7" t="inlineStr">
        <is>
          <t>Macro correlations</t>
        </is>
      </c>
    </row>
    <row r="4">
      <c r="A4" s="8" t="inlineStr">
        <is>
          <t>Empirical</t>
        </is>
      </c>
      <c r="B4" s="8" t="inlineStr">
        <is>
          <t>AH</t>
        </is>
      </c>
      <c r="C4" s="8" t="inlineStr">
        <is>
          <t>AE</t>
        </is>
      </c>
      <c r="D4" s="8" t="inlineStr">
        <is>
          <t>AX</t>
        </is>
      </c>
      <c r="E4" s="8" t="inlineStr">
        <is>
          <t>AA</t>
        </is>
      </c>
      <c r="F4" s="8" t="inlineStr">
        <is>
          <t>AC</t>
        </is>
      </c>
      <c r="G4" s="8" t="inlineStr">
        <is>
          <t>AO</t>
        </is>
      </c>
      <c r="H4" s="8" t="inlineStr">
        <is>
          <t>RH</t>
        </is>
      </c>
      <c r="I4" s="8" t="inlineStr">
        <is>
          <t>RE</t>
        </is>
      </c>
      <c r="J4" s="8" t="inlineStr">
        <is>
          <t>RX</t>
        </is>
      </c>
      <c r="K4" s="8" t="inlineStr">
        <is>
          <t>RA</t>
        </is>
      </c>
      <c r="L4" s="8" t="inlineStr">
        <is>
          <t>RC</t>
        </is>
      </c>
      <c r="M4" s="8" t="inlineStr">
        <is>
          <t>RO</t>
        </is>
      </c>
      <c r="N4" s="8" t="inlineStr">
        <is>
          <t>OH</t>
        </is>
      </c>
      <c r="O4" s="8" t="inlineStr">
        <is>
          <t>OE</t>
        </is>
      </c>
      <c r="P4" s="8" t="inlineStr">
        <is>
          <t>OX</t>
        </is>
      </c>
      <c r="Q4" s="8" t="inlineStr">
        <is>
          <t>OA</t>
        </is>
      </c>
      <c r="R4" s="8" t="inlineStr">
        <is>
          <t>OC</t>
        </is>
      </c>
      <c r="S4" s="8" t="inlineStr">
        <is>
          <t>OO</t>
        </is>
      </c>
    </row>
    <row r="5">
      <c r="A5" s="3" t="inlineStr">
        <is>
          <t>EH</t>
        </is>
      </c>
      <c r="B5" s="10" t="n">
        <v>0.82</v>
      </c>
      <c r="C5" s="10" t="n">
        <v>-0.2</v>
      </c>
      <c r="D5" s="10" t="n">
        <v>-0.4</v>
      </c>
      <c r="E5" s="10" t="n">
        <v>-0.11</v>
      </c>
      <c r="F5" s="10" t="n">
        <v>0.04</v>
      </c>
      <c r="G5" s="10" t="n">
        <v>-0.13</v>
      </c>
      <c r="H5" s="10" t="n">
        <v>0.6899999999999999</v>
      </c>
      <c r="I5" s="10" t="n">
        <v>-0.07000000000000001</v>
      </c>
      <c r="J5" s="10" t="n">
        <v>-0.41</v>
      </c>
      <c r="K5" s="10" t="n">
        <v>0.15</v>
      </c>
      <c r="L5" s="10" t="n">
        <v>0.04</v>
      </c>
      <c r="M5" s="10" t="n">
        <v>-0.53</v>
      </c>
      <c r="N5" s="10" t="n">
        <v>0.79</v>
      </c>
      <c r="O5" s="10" t="n">
        <v>-0.36</v>
      </c>
      <c r="P5" s="10" t="n">
        <v>-0.37</v>
      </c>
      <c r="Q5" s="10" t="n">
        <v>-0.12</v>
      </c>
      <c r="R5" s="10" t="n">
        <v>0.03</v>
      </c>
      <c r="S5" s="10" t="n">
        <v>-0.08</v>
      </c>
    </row>
    <row r="6">
      <c r="A6" s="3" t="inlineStr">
        <is>
          <t>EE</t>
        </is>
      </c>
      <c r="B6" s="10" t="n">
        <v>-0.08</v>
      </c>
      <c r="C6" s="10" t="n">
        <v>0.6899999999999999</v>
      </c>
      <c r="D6" s="10" t="n">
        <v>-0.05</v>
      </c>
      <c r="E6" s="10" t="n">
        <v>-0.19</v>
      </c>
      <c r="F6" s="10" t="n">
        <v>-0.01</v>
      </c>
      <c r="G6" s="10" t="n">
        <v>-0.18</v>
      </c>
      <c r="H6" s="10" t="n">
        <v>-0.02</v>
      </c>
      <c r="I6" s="10" t="n">
        <v>0.82</v>
      </c>
      <c r="J6" s="10" t="n">
        <v>-0.43</v>
      </c>
      <c r="K6" s="10" t="n">
        <v>-0.27</v>
      </c>
      <c r="L6" s="10" t="n">
        <v>-0.25</v>
      </c>
      <c r="M6" s="10" t="n">
        <v>0.21</v>
      </c>
      <c r="N6" s="10" t="n">
        <v>-0.18</v>
      </c>
      <c r="O6" s="10" t="n">
        <v>0.38</v>
      </c>
      <c r="P6" s="10" t="n">
        <v>-0.16</v>
      </c>
      <c r="Q6" s="10" t="n">
        <v>0.17</v>
      </c>
      <c r="R6" s="10" t="n">
        <v>-0.21</v>
      </c>
      <c r="S6" s="10" t="n">
        <v>0.16</v>
      </c>
    </row>
    <row r="7">
      <c r="A7" s="3" t="inlineStr">
        <is>
          <t>EX</t>
        </is>
      </c>
      <c r="B7" s="10" t="n">
        <v>-0.19</v>
      </c>
      <c r="C7" s="10" t="n">
        <v>0.12</v>
      </c>
      <c r="D7" s="10" t="n">
        <v>0.76</v>
      </c>
      <c r="E7" s="10" t="n">
        <v>-0.14</v>
      </c>
      <c r="F7" s="10" t="n">
        <v>-0.41</v>
      </c>
      <c r="G7" s="10" t="n">
        <v>-0.12</v>
      </c>
      <c r="H7" s="10" t="n">
        <v>-0.51</v>
      </c>
      <c r="I7" s="10" t="n">
        <v>-0.25</v>
      </c>
      <c r="J7" s="10" t="n">
        <v>0.74</v>
      </c>
      <c r="K7" s="10" t="n">
        <v>-0.01</v>
      </c>
      <c r="L7" s="10" t="n">
        <v>-0.21</v>
      </c>
      <c r="M7" s="10" t="n">
        <v>0.55</v>
      </c>
      <c r="N7" s="10" t="n">
        <v>-0.22</v>
      </c>
      <c r="O7" s="10" t="n">
        <v>-0.15</v>
      </c>
      <c r="P7" s="10" t="n">
        <v>0.76</v>
      </c>
      <c r="Q7" s="10" t="n">
        <v>-0.08</v>
      </c>
      <c r="R7" s="10" t="n">
        <v>-0.35</v>
      </c>
      <c r="S7" s="10" t="n">
        <v>-0.07000000000000001</v>
      </c>
    </row>
    <row r="8">
      <c r="A8" s="3" t="inlineStr">
        <is>
          <t>EA</t>
        </is>
      </c>
      <c r="B8" s="10" t="n">
        <v>-0.06</v>
      </c>
      <c r="C8" s="10" t="n">
        <v>-0.29</v>
      </c>
      <c r="D8" s="10" t="n">
        <v>-0.2</v>
      </c>
      <c r="E8" s="10" t="n">
        <v>0.86</v>
      </c>
      <c r="F8" s="10" t="n">
        <v>-0.27</v>
      </c>
      <c r="G8" s="10" t="n">
        <v>-0.19</v>
      </c>
      <c r="H8" s="10" t="n">
        <v>0.07000000000000001</v>
      </c>
      <c r="I8" s="10" t="n">
        <v>-0.44</v>
      </c>
      <c r="J8" s="10" t="n">
        <v>0.01</v>
      </c>
      <c r="K8" s="10" t="n">
        <v>0.79</v>
      </c>
      <c r="L8" s="10" t="n">
        <v>-0.23</v>
      </c>
      <c r="M8" s="10" t="n">
        <v>-0.28</v>
      </c>
      <c r="N8" s="10" t="n">
        <v>-0.05</v>
      </c>
      <c r="O8" s="10" t="n">
        <v>0.14</v>
      </c>
      <c r="P8" s="10" t="n">
        <v>-0.18</v>
      </c>
      <c r="Q8" s="10" t="n">
        <v>0.75</v>
      </c>
      <c r="R8" s="10" t="n">
        <v>-0.18</v>
      </c>
      <c r="S8" s="10" t="n">
        <v>-0.39</v>
      </c>
    </row>
    <row r="9">
      <c r="A9" s="3" t="inlineStr">
        <is>
          <t>EC</t>
        </is>
      </c>
      <c r="B9" s="10" t="n">
        <v>0.07000000000000001</v>
      </c>
      <c r="C9" s="10" t="n">
        <v>0.03</v>
      </c>
      <c r="D9" s="10" t="n">
        <v>-0.42</v>
      </c>
      <c r="E9" s="10" t="n">
        <v>-0.32</v>
      </c>
      <c r="F9" s="10" t="n">
        <v>0.88</v>
      </c>
      <c r="G9" s="10" t="n">
        <v>-0.15</v>
      </c>
      <c r="H9" s="10" t="n">
        <v>0.13</v>
      </c>
      <c r="I9" s="10" t="n">
        <v>-0.23</v>
      </c>
      <c r="J9" s="10" t="n">
        <v>-0.46</v>
      </c>
      <c r="K9" s="10" t="n">
        <v>-0.35</v>
      </c>
      <c r="L9" s="10" t="n">
        <v>0.91</v>
      </c>
      <c r="M9" s="10" t="n">
        <v>-0.07000000000000001</v>
      </c>
      <c r="N9" s="10" t="n">
        <v>0.05</v>
      </c>
      <c r="O9" s="10" t="n">
        <v>-0.39</v>
      </c>
      <c r="P9" s="10" t="n">
        <v>-0.42</v>
      </c>
      <c r="Q9" s="10" t="n">
        <v>-0.24</v>
      </c>
      <c r="R9" s="10" t="n">
        <v>0.9</v>
      </c>
      <c r="S9" s="10" t="n">
        <v>-0.15</v>
      </c>
    </row>
    <row r="10">
      <c r="A10" s="5" t="inlineStr">
        <is>
          <t>EO</t>
        </is>
      </c>
      <c r="B10" s="11" t="n">
        <v>-0.11</v>
      </c>
      <c r="C10" s="11" t="n">
        <v>-0.18</v>
      </c>
      <c r="D10" s="11" t="n">
        <v>-0.12</v>
      </c>
      <c r="E10" s="11" t="n">
        <v>-0.24</v>
      </c>
      <c r="F10" s="11" t="n">
        <v>-0.24</v>
      </c>
      <c r="G10" s="11" t="n">
        <v>0.78</v>
      </c>
      <c r="H10" s="11" t="n">
        <v>-0.29</v>
      </c>
      <c r="I10" s="11" t="n">
        <v>-0.06</v>
      </c>
      <c r="J10" s="11" t="n">
        <v>0.55</v>
      </c>
      <c r="K10" s="11" t="n">
        <v>-0.21</v>
      </c>
      <c r="L10" s="11" t="n">
        <v>-0.01</v>
      </c>
      <c r="M10" s="11" t="n">
        <v>0.3</v>
      </c>
      <c r="N10" s="11" t="n">
        <v>-0.05</v>
      </c>
      <c r="O10" s="11" t="n">
        <v>0</v>
      </c>
      <c r="P10" s="11" t="n">
        <v>0.01</v>
      </c>
      <c r="Q10" s="11" t="n">
        <v>-0.45</v>
      </c>
      <c r="R10" s="11" t="n">
        <v>-0.14</v>
      </c>
      <c r="S10" s="11" t="n">
        <v>0.6899999999999999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Table 7. NEO Robustness Analysis.</t>
        </is>
      </c>
    </row>
    <row r="3">
      <c r="A3" s="2" t="inlineStr">
        <is>
          <t>Perturbation step</t>
        </is>
      </c>
      <c r="B3" s="2" t="inlineStr">
        <is>
          <t>N</t>
        </is>
      </c>
      <c r="C3" s="2" t="inlineStr">
        <is>
          <t>E</t>
        </is>
      </c>
      <c r="D3" s="2" t="inlineStr">
        <is>
          <t>O</t>
        </is>
      </c>
      <c r="E3" s="2" t="inlineStr">
        <is>
          <t>A</t>
        </is>
      </c>
      <c r="F3" s="2" t="inlineStr">
        <is>
          <t>C</t>
        </is>
      </c>
      <c r="G3" s="2" t="inlineStr">
        <is>
          <t>R</t>
        </is>
      </c>
    </row>
    <row r="4">
      <c r="A4" s="3" t="inlineStr">
        <is>
          <t>Baseline</t>
        </is>
      </c>
      <c r="B4" s="4" t="n">
        <v>1</v>
      </c>
      <c r="C4" s="4" t="n">
        <v>1</v>
      </c>
      <c r="D4" s="4" t="n">
        <v>1</v>
      </c>
      <c r="E4" s="4" t="n">
        <v>1</v>
      </c>
      <c r="F4" s="4" t="n">
        <v>1</v>
      </c>
      <c r="G4" s="4">
        <f>SUM(B4:F4)</f>
        <v/>
      </c>
    </row>
    <row r="5">
      <c r="A5" s="3" t="inlineStr">
        <is>
          <t>N replaced</t>
        </is>
      </c>
      <c r="B5" s="4" t="n">
        <v>0</v>
      </c>
      <c r="C5" s="4" t="n">
        <v>1</v>
      </c>
      <c r="D5" s="4" t="n">
        <v>1</v>
      </c>
      <c r="E5" s="4" t="n">
        <v>1</v>
      </c>
      <c r="F5" s="4" t="n">
        <v>1</v>
      </c>
      <c r="G5" s="4">
        <f>SUM(B5:F5)</f>
        <v/>
      </c>
    </row>
    <row r="6">
      <c r="A6" s="3" t="inlineStr">
        <is>
          <t>N + E replaced</t>
        </is>
      </c>
      <c r="B6" s="4" t="n">
        <v>0</v>
      </c>
      <c r="C6" s="4" t="n">
        <v>0</v>
      </c>
      <c r="D6" s="4" t="n">
        <v>1</v>
      </c>
      <c r="E6" s="4" t="n">
        <v>1</v>
      </c>
      <c r="F6" s="4" t="n">
        <v>1</v>
      </c>
      <c r="G6" s="4">
        <f>SUM(B6:F6)</f>
        <v/>
      </c>
    </row>
    <row r="7">
      <c r="A7" s="3" t="inlineStr">
        <is>
          <t>N + E + O replaced</t>
        </is>
      </c>
      <c r="B7" s="4" t="n">
        <v>0</v>
      </c>
      <c r="C7" s="4" t="n">
        <v>0</v>
      </c>
      <c r="D7" s="4" t="n">
        <v>0</v>
      </c>
      <c r="E7" s="4" t="n">
        <v>1</v>
      </c>
      <c r="F7" s="4" t="n">
        <v>1</v>
      </c>
      <c r="G7" s="4">
        <f>SUM(B7:F7)</f>
        <v/>
      </c>
    </row>
    <row r="8">
      <c r="A8" s="3" t="inlineStr">
        <is>
          <t>N + E + O + A replaced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1</v>
      </c>
      <c r="G8" s="4">
        <f>SUM(B8:F8)</f>
        <v/>
      </c>
    </row>
    <row r="9">
      <c r="A9" s="5" t="inlineStr">
        <is>
          <t>All replaced</t>
        </is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>
        <f>SUM(B9:F9)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Table 8. HEXACO Robustness Analysis.</t>
        </is>
      </c>
    </row>
    <row r="3">
      <c r="A3" s="2" t="inlineStr">
        <is>
          <t>Perturbation step</t>
        </is>
      </c>
      <c r="B3" s="2" t="inlineStr">
        <is>
          <t>H</t>
        </is>
      </c>
      <c r="C3" s="2" t="inlineStr">
        <is>
          <t>E</t>
        </is>
      </c>
      <c r="D3" s="2" t="inlineStr">
        <is>
          <t>X</t>
        </is>
      </c>
      <c r="E3" s="2" t="inlineStr">
        <is>
          <t>A</t>
        </is>
      </c>
      <c r="F3" s="2" t="inlineStr">
        <is>
          <t>C</t>
        </is>
      </c>
      <c r="G3" s="2" t="inlineStr">
        <is>
          <t>O</t>
        </is>
      </c>
      <c r="H3" s="2" t="inlineStr">
        <is>
          <t>R</t>
        </is>
      </c>
    </row>
    <row r="4">
      <c r="A4" s="3" t="inlineStr">
        <is>
          <t>Baseline</t>
        </is>
      </c>
      <c r="B4" s="12" t="n">
        <v>1</v>
      </c>
      <c r="C4" s="12" t="n">
        <v>1</v>
      </c>
      <c r="D4" s="12" t="n">
        <v>1</v>
      </c>
      <c r="E4" s="12" t="n">
        <v>1</v>
      </c>
      <c r="F4" s="12" t="n">
        <v>1</v>
      </c>
      <c r="G4" s="12" t="n">
        <v>1</v>
      </c>
      <c r="H4" s="12">
        <f>SUM(B4:G4)</f>
        <v/>
      </c>
    </row>
    <row r="5">
      <c r="A5" s="3" t="inlineStr">
        <is>
          <t>H replaced</t>
        </is>
      </c>
      <c r="B5" s="12" t="n">
        <v>0</v>
      </c>
      <c r="C5" s="12" t="n">
        <v>1</v>
      </c>
      <c r="D5" s="12" t="n">
        <v>1</v>
      </c>
      <c r="E5" s="12" t="n">
        <v>1</v>
      </c>
      <c r="F5" s="12" t="n">
        <v>1</v>
      </c>
      <c r="G5" s="12" t="n">
        <v>1</v>
      </c>
      <c r="H5" s="12">
        <f>SUM(B5:G5)</f>
        <v/>
      </c>
    </row>
    <row r="6">
      <c r="A6" s="3" t="inlineStr">
        <is>
          <t>H + E replaced</t>
        </is>
      </c>
      <c r="B6" s="12" t="n">
        <v>0</v>
      </c>
      <c r="C6" s="12" t="n">
        <v>0</v>
      </c>
      <c r="D6" s="12" t="n">
        <v>1</v>
      </c>
      <c r="E6" s="12" t="n">
        <v>1</v>
      </c>
      <c r="F6" s="12" t="n">
        <v>1</v>
      </c>
      <c r="G6" s="12" t="n">
        <v>1</v>
      </c>
      <c r="H6" s="12">
        <f>SUM(B6:G6)</f>
        <v/>
      </c>
    </row>
    <row r="7">
      <c r="A7" s="3" t="inlineStr">
        <is>
          <t>H + E + X replaced</t>
        </is>
      </c>
      <c r="B7" s="12" t="n">
        <v>0</v>
      </c>
      <c r="C7" s="12" t="n">
        <v>0</v>
      </c>
      <c r="D7" s="12" t="n">
        <v>0</v>
      </c>
      <c r="E7" s="12" t="n">
        <v>1</v>
      </c>
      <c r="F7" s="12" t="n">
        <v>1</v>
      </c>
      <c r="G7" s="12" t="n">
        <v>1</v>
      </c>
      <c r="H7" s="12">
        <f>SUM(B7:G7)</f>
        <v/>
      </c>
    </row>
    <row r="8">
      <c r="A8" s="3" t="inlineStr">
        <is>
          <t>H + E + X + A replaced</t>
        </is>
      </c>
      <c r="B8" s="12" t="n">
        <v>0</v>
      </c>
      <c r="C8" s="12" t="n">
        <v>0</v>
      </c>
      <c r="D8" s="12" t="n">
        <v>0</v>
      </c>
      <c r="E8" s="12" t="n">
        <v>0</v>
      </c>
      <c r="F8" s="12" t="n">
        <v>1</v>
      </c>
      <c r="G8" s="12" t="n">
        <v>1</v>
      </c>
      <c r="H8" s="12">
        <f>SUM(B8:G8)</f>
        <v/>
      </c>
    </row>
    <row r="9">
      <c r="A9" s="3" t="inlineStr">
        <is>
          <t>H + E + X + A + C replaced</t>
        </is>
      </c>
      <c r="B9" s="12" t="n">
        <v>1</v>
      </c>
      <c r="C9" s="12" t="n">
        <v>0</v>
      </c>
      <c r="D9" s="12" t="n">
        <v>0</v>
      </c>
      <c r="E9" s="12" t="n">
        <v>0</v>
      </c>
      <c r="F9" s="12" t="n">
        <v>0</v>
      </c>
      <c r="G9" s="12" t="n">
        <v>1</v>
      </c>
      <c r="H9" s="12">
        <f>SUM(B9:G9)</f>
        <v/>
      </c>
    </row>
    <row r="10">
      <c r="A10" s="5" t="inlineStr">
        <is>
          <t>All replaced</t>
        </is>
      </c>
      <c r="B10" s="13" t="n">
        <v>1</v>
      </c>
      <c r="C10" s="13" t="n">
        <v>0</v>
      </c>
      <c r="D10" s="13" t="n">
        <v>0</v>
      </c>
      <c r="E10" s="13" t="n">
        <v>0</v>
      </c>
      <c r="F10" s="13" t="n">
        <v>0</v>
      </c>
      <c r="G10" s="13" t="n">
        <v>0</v>
      </c>
      <c r="H10" s="13">
        <f>SUM(B10:G10)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Table S1. NEO structure recovery: proportion of factors aligned.</t>
        </is>
      </c>
    </row>
    <row r="3">
      <c r="A3" s="2" t="inlineStr">
        <is>
          <t>Model</t>
        </is>
      </c>
      <c r="B3" s="2" t="inlineStr">
        <is>
          <t>Atomic</t>
        </is>
      </c>
      <c r="C3" s="2" t="inlineStr">
        <is>
          <t>AtomicR</t>
        </is>
      </c>
      <c r="D3" s="2" t="inlineStr">
        <is>
          <t>Macro</t>
        </is>
      </c>
    </row>
    <row r="4">
      <c r="A4" s="3" t="inlineStr">
        <is>
          <t>D_RoBERTa</t>
        </is>
      </c>
      <c r="B4" s="4">
        <f>AVERAGE('Table S2'!B4:F4)</f>
        <v/>
      </c>
      <c r="C4" s="4">
        <f>AVERAGE('Table S2'!G4:K4)</f>
        <v/>
      </c>
      <c r="D4" s="4">
        <f>AVERAGE('Table S2'!L4:P4)</f>
        <v/>
      </c>
    </row>
    <row r="5">
      <c r="A5" s="3" t="inlineStr">
        <is>
          <t>MiniLM</t>
        </is>
      </c>
      <c r="B5" s="4">
        <f>AVERAGE('Table S2'!B5:F5)</f>
        <v/>
      </c>
      <c r="C5" s="4">
        <f>AVERAGE('Table S2'!G5:K5)</f>
        <v/>
      </c>
      <c r="D5" s="4">
        <f>AVERAGE('Table S2'!L5:P5)</f>
        <v/>
      </c>
    </row>
    <row r="6">
      <c r="A6" s="3" t="inlineStr">
        <is>
          <t>MPNet</t>
        </is>
      </c>
      <c r="B6" s="4">
        <f>AVERAGE('Table S2'!B6:F6)</f>
        <v/>
      </c>
      <c r="C6" s="4">
        <f>AVERAGE('Table S2'!G6:K6)</f>
        <v/>
      </c>
      <c r="D6" s="4">
        <f>AVERAGE('Table S2'!L6:P6)</f>
        <v/>
      </c>
    </row>
    <row r="7">
      <c r="A7" s="3" t="inlineStr">
        <is>
          <t>T5</t>
        </is>
      </c>
      <c r="B7" s="4">
        <f>AVERAGE('Table S2'!B7:F7)</f>
        <v/>
      </c>
      <c r="C7" s="4">
        <f>AVERAGE('Table S2'!G7:K7)</f>
        <v/>
      </c>
      <c r="D7" s="4">
        <f>AVERAGE('Table S2'!L7:P7)</f>
        <v/>
      </c>
    </row>
    <row r="8">
      <c r="A8" s="3" t="inlineStr">
        <is>
          <t>Wulff &amp; Mata</t>
        </is>
      </c>
      <c r="B8" s="4">
        <f>AVERAGE('Table S2'!B8:F8)</f>
        <v/>
      </c>
      <c r="C8" s="4">
        <f>AVERAGE('Table S2'!G8:K8)</f>
        <v/>
      </c>
      <c r="D8" s="4">
        <f>AVERAGE('Table S2'!L8:P8)</f>
        <v/>
      </c>
    </row>
    <row r="9">
      <c r="A9" s="3" t="inlineStr">
        <is>
          <t>USE-DAN</t>
        </is>
      </c>
      <c r="B9" s="4">
        <f>AVERAGE('Table S2'!B9:F9)</f>
        <v/>
      </c>
      <c r="C9" s="4">
        <f>AVERAGE('Table S2'!G9:K9)</f>
        <v/>
      </c>
      <c r="D9" s="4">
        <f>AVERAGE('Table S2'!L9:P9)</f>
        <v/>
      </c>
    </row>
    <row r="10">
      <c r="A10" s="3" t="inlineStr">
        <is>
          <t>Transformers</t>
        </is>
      </c>
      <c r="B10" s="4">
        <f>AVERAGE('Table S2'!B10:F10)</f>
        <v/>
      </c>
      <c r="C10" s="4">
        <f>AVERAGE('Table S2'!G10:K10)</f>
        <v/>
      </c>
      <c r="D10" s="4">
        <f>AVERAGE('Table S2'!L10:P10)</f>
        <v/>
      </c>
    </row>
    <row r="11">
      <c r="A11" s="5" t="inlineStr">
        <is>
          <t>Overall M</t>
        </is>
      </c>
      <c r="B11" s="6">
        <f>AVERAGE(B4:B10)</f>
        <v/>
      </c>
      <c r="C11" s="6">
        <f>AVERAGE(C4:C10)</f>
        <v/>
      </c>
      <c r="D11" s="6">
        <f>AVERAGE(D4:D10)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Table S2. NEO factor recovery (1 = aligned).</t>
        </is>
      </c>
    </row>
    <row r="3">
      <c r="A3" s="2" t="inlineStr">
        <is>
          <t>Model</t>
        </is>
      </c>
      <c r="B3" s="2" t="inlineStr">
        <is>
          <t>O (Atomic)</t>
        </is>
      </c>
      <c r="C3" s="2" t="inlineStr">
        <is>
          <t>C (Atomic)</t>
        </is>
      </c>
      <c r="D3" s="2" t="inlineStr">
        <is>
          <t>E (Atomic)</t>
        </is>
      </c>
      <c r="E3" s="2" t="inlineStr">
        <is>
          <t>A (Atomic)</t>
        </is>
      </c>
      <c r="F3" s="2" t="inlineStr">
        <is>
          <t>N (Atomic)</t>
        </is>
      </c>
      <c r="G3" s="2" t="inlineStr">
        <is>
          <t>O (AtomicR)</t>
        </is>
      </c>
      <c r="H3" s="2" t="inlineStr">
        <is>
          <t>C (AtomicR)</t>
        </is>
      </c>
      <c r="I3" s="2" t="inlineStr">
        <is>
          <t>E (AtomicR)</t>
        </is>
      </c>
      <c r="J3" s="2" t="inlineStr">
        <is>
          <t>A (AtomicR)</t>
        </is>
      </c>
      <c r="K3" s="2" t="inlineStr">
        <is>
          <t>N (AtomicR)</t>
        </is>
      </c>
      <c r="L3" s="2" t="inlineStr">
        <is>
          <t>O (Macro)</t>
        </is>
      </c>
      <c r="M3" s="2" t="inlineStr">
        <is>
          <t>C (Macro)</t>
        </is>
      </c>
      <c r="N3" s="2" t="inlineStr">
        <is>
          <t>E (Macro)</t>
        </is>
      </c>
      <c r="O3" s="2" t="inlineStr">
        <is>
          <t>A (Macro)</t>
        </is>
      </c>
      <c r="P3" s="2" t="inlineStr">
        <is>
          <t>N (Macro)</t>
        </is>
      </c>
      <c r="Q3" s="2" t="inlineStr">
        <is>
          <t>M</t>
        </is>
      </c>
    </row>
    <row r="4">
      <c r="A4" s="3" t="inlineStr">
        <is>
          <t>D_RoBERTa</t>
        </is>
      </c>
      <c r="B4" s="4" t="n">
        <v>1</v>
      </c>
      <c r="C4" s="4" t="n">
        <v>1</v>
      </c>
      <c r="D4" s="4" t="n">
        <v>1</v>
      </c>
      <c r="E4" s="4" t="n">
        <v>1</v>
      </c>
      <c r="F4" s="4" t="n">
        <v>1</v>
      </c>
      <c r="G4" s="4" t="n">
        <v>1</v>
      </c>
      <c r="H4" s="4" t="n">
        <v>1</v>
      </c>
      <c r="I4" s="4" t="n">
        <v>1</v>
      </c>
      <c r="J4" s="4" t="n">
        <v>1</v>
      </c>
      <c r="K4" s="4" t="n">
        <v>1</v>
      </c>
      <c r="L4" s="4" t="n">
        <v>1</v>
      </c>
      <c r="M4" s="4" t="n">
        <v>1</v>
      </c>
      <c r="N4" s="4" t="n">
        <v>1</v>
      </c>
      <c r="O4" s="4" t="n">
        <v>1</v>
      </c>
      <c r="P4" s="4" t="n">
        <v>1</v>
      </c>
      <c r="Q4" s="4">
        <f>AVERAGE(B4:P4)</f>
        <v/>
      </c>
    </row>
    <row r="5">
      <c r="A5" s="3" t="inlineStr">
        <is>
          <t>MiniLM</t>
        </is>
      </c>
      <c r="B5" s="4" t="n">
        <v>1</v>
      </c>
      <c r="C5" s="4" t="n">
        <v>1</v>
      </c>
      <c r="D5" s="4" t="n">
        <v>0</v>
      </c>
      <c r="E5" s="4" t="n">
        <v>0</v>
      </c>
      <c r="F5" s="4" t="n">
        <v>1</v>
      </c>
      <c r="G5" s="4" t="n">
        <v>1</v>
      </c>
      <c r="H5" s="4" t="n">
        <v>0</v>
      </c>
      <c r="I5" s="4" t="n">
        <v>1</v>
      </c>
      <c r="J5" s="4" t="n">
        <v>1</v>
      </c>
      <c r="K5" s="4" t="n">
        <v>0</v>
      </c>
      <c r="L5" s="4" t="n">
        <v>1</v>
      </c>
      <c r="M5" s="4" t="n">
        <v>1</v>
      </c>
      <c r="N5" s="4" t="n">
        <v>1</v>
      </c>
      <c r="O5" s="4" t="n">
        <v>1</v>
      </c>
      <c r="P5" s="4" t="n">
        <v>1</v>
      </c>
      <c r="Q5" s="4">
        <f>AVERAGE(B5:P5)</f>
        <v/>
      </c>
    </row>
    <row r="6">
      <c r="A6" s="3" t="inlineStr">
        <is>
          <t>MPNet</t>
        </is>
      </c>
      <c r="B6" s="4" t="n">
        <v>1</v>
      </c>
      <c r="C6" s="4" t="n">
        <v>1</v>
      </c>
      <c r="D6" s="4" t="n">
        <v>1</v>
      </c>
      <c r="E6" s="4" t="n">
        <v>1</v>
      </c>
      <c r="F6" s="4" t="n">
        <v>1</v>
      </c>
      <c r="G6" s="4" t="n">
        <v>1</v>
      </c>
      <c r="H6" s="4" t="n">
        <v>1</v>
      </c>
      <c r="I6" s="4" t="n">
        <v>1</v>
      </c>
      <c r="J6" s="4" t="n">
        <v>1</v>
      </c>
      <c r="K6" s="4" t="n">
        <v>1</v>
      </c>
      <c r="L6" s="4" t="n">
        <v>1</v>
      </c>
      <c r="M6" s="4" t="n">
        <v>1</v>
      </c>
      <c r="N6" s="4" t="n">
        <v>1</v>
      </c>
      <c r="O6" s="4" t="n">
        <v>1</v>
      </c>
      <c r="P6" s="4" t="n">
        <v>1</v>
      </c>
      <c r="Q6" s="4">
        <f>AVERAGE(B6:P6)</f>
        <v/>
      </c>
    </row>
    <row r="7">
      <c r="A7" s="3" t="inlineStr">
        <is>
          <t>T5</t>
        </is>
      </c>
      <c r="B7" s="4" t="n">
        <v>1</v>
      </c>
      <c r="C7" s="4" t="n">
        <v>1</v>
      </c>
      <c r="D7" s="4" t="n">
        <v>1</v>
      </c>
      <c r="E7" s="4" t="n">
        <v>1</v>
      </c>
      <c r="F7" s="4" t="n">
        <v>1</v>
      </c>
      <c r="G7" s="4" t="n">
        <v>1</v>
      </c>
      <c r="H7" s="4" t="n">
        <v>1</v>
      </c>
      <c r="I7" s="4" t="n">
        <v>1</v>
      </c>
      <c r="J7" s="4" t="n">
        <v>1</v>
      </c>
      <c r="K7" s="4" t="n">
        <v>1</v>
      </c>
      <c r="L7" s="4" t="n">
        <v>1</v>
      </c>
      <c r="M7" s="4" t="n">
        <v>1</v>
      </c>
      <c r="N7" s="4" t="n">
        <v>1</v>
      </c>
      <c r="O7" s="4" t="n">
        <v>1</v>
      </c>
      <c r="P7" s="4" t="n">
        <v>1</v>
      </c>
      <c r="Q7" s="4">
        <f>AVERAGE(B7:P7)</f>
        <v/>
      </c>
    </row>
    <row r="8">
      <c r="A8" s="3" t="inlineStr">
        <is>
          <t>Wulff &amp; Mata</t>
        </is>
      </c>
      <c r="B8" s="4" t="n">
        <v>0</v>
      </c>
      <c r="C8" s="4" t="n">
        <v>1</v>
      </c>
      <c r="D8" s="4" t="n">
        <v>1</v>
      </c>
      <c r="E8" s="4" t="n">
        <v>0</v>
      </c>
      <c r="F8" s="4" t="n">
        <v>1</v>
      </c>
      <c r="G8" s="4" t="n">
        <v>1</v>
      </c>
      <c r="H8" s="4" t="n">
        <v>1</v>
      </c>
      <c r="I8" s="4" t="n">
        <v>1</v>
      </c>
      <c r="J8" s="4" t="n">
        <v>1</v>
      </c>
      <c r="K8" s="4" t="n">
        <v>1</v>
      </c>
      <c r="L8" s="4" t="n">
        <v>1</v>
      </c>
      <c r="M8" s="4" t="n">
        <v>1</v>
      </c>
      <c r="N8" s="4" t="n">
        <v>1</v>
      </c>
      <c r="O8" s="4" t="n">
        <v>1</v>
      </c>
      <c r="P8" s="4" t="n">
        <v>1</v>
      </c>
      <c r="Q8" s="4">
        <f>AVERAGE(B8:P8)</f>
        <v/>
      </c>
    </row>
    <row r="9">
      <c r="A9" s="3" t="inlineStr">
        <is>
          <t>USE-DAN</t>
        </is>
      </c>
      <c r="B9" s="4" t="n">
        <v>0</v>
      </c>
      <c r="C9" s="4" t="n">
        <v>1</v>
      </c>
      <c r="D9" s="4" t="n">
        <v>0</v>
      </c>
      <c r="E9" s="4" t="n">
        <v>1</v>
      </c>
      <c r="F9" s="4" t="n">
        <v>1</v>
      </c>
      <c r="G9" s="4" t="n">
        <v>1</v>
      </c>
      <c r="H9" s="4" t="n">
        <v>1</v>
      </c>
      <c r="I9" s="4" t="n">
        <v>1</v>
      </c>
      <c r="J9" s="4" t="n">
        <v>1</v>
      </c>
      <c r="K9" s="4" t="n">
        <v>1</v>
      </c>
      <c r="L9" s="4" t="n">
        <v>0</v>
      </c>
      <c r="M9" s="4" t="n">
        <v>1</v>
      </c>
      <c r="N9" s="4" t="n">
        <v>1</v>
      </c>
      <c r="O9" s="4" t="n">
        <v>1</v>
      </c>
      <c r="P9" s="4" t="n">
        <v>0</v>
      </c>
      <c r="Q9" s="4">
        <f>AVERAGE(B9:P9)</f>
        <v/>
      </c>
    </row>
    <row r="10">
      <c r="A10" s="3" t="inlineStr">
        <is>
          <t>Transformers</t>
        </is>
      </c>
      <c r="B10" s="4" t="n">
        <v>0</v>
      </c>
      <c r="C10" s="4" t="n">
        <v>1</v>
      </c>
      <c r="D10" s="4" t="n">
        <v>1</v>
      </c>
      <c r="E10" s="4" t="n">
        <v>1</v>
      </c>
      <c r="F10" s="4" t="n">
        <v>0</v>
      </c>
      <c r="G10" s="4" t="n">
        <v>1</v>
      </c>
      <c r="H10" s="4" t="n">
        <v>1</v>
      </c>
      <c r="I10" s="4" t="n">
        <v>1</v>
      </c>
      <c r="J10" s="4" t="n">
        <v>1</v>
      </c>
      <c r="K10" s="4" t="n">
        <v>1</v>
      </c>
      <c r="L10" s="4" t="n">
        <v>1</v>
      </c>
      <c r="M10" s="4" t="n">
        <v>1</v>
      </c>
      <c r="N10" s="4" t="n">
        <v>1</v>
      </c>
      <c r="O10" s="4" t="n">
        <v>1</v>
      </c>
      <c r="P10" s="4" t="n">
        <v>1</v>
      </c>
      <c r="Q10" s="4">
        <f>AVERAGE(B10:P10)</f>
        <v/>
      </c>
    </row>
    <row r="11">
      <c r="A11" s="5" t="inlineStr">
        <is>
          <t>Overall M</t>
        </is>
      </c>
      <c r="B11" s="6">
        <f>AVERAGE(B4:B10)</f>
        <v/>
      </c>
      <c r="C11" s="6">
        <f>AVERAGE(C4:C10)</f>
        <v/>
      </c>
      <c r="D11" s="6">
        <f>AVERAGE(D4:D10)</f>
        <v/>
      </c>
      <c r="E11" s="6">
        <f>AVERAGE(E4:E10)</f>
        <v/>
      </c>
      <c r="F11" s="6">
        <f>AVERAGE(F4:F10)</f>
        <v/>
      </c>
      <c r="G11" s="6">
        <f>AVERAGE(G4:G10)</f>
        <v/>
      </c>
      <c r="H11" s="6">
        <f>AVERAGE(H4:H10)</f>
        <v/>
      </c>
      <c r="I11" s="6">
        <f>AVERAGE(I4:I10)</f>
        <v/>
      </c>
      <c r="J11" s="6">
        <f>AVERAGE(J4:J10)</f>
        <v/>
      </c>
      <c r="K11" s="6">
        <f>AVERAGE(K4:K10)</f>
        <v/>
      </c>
      <c r="L11" s="6">
        <f>AVERAGE(L4:L10)</f>
        <v/>
      </c>
      <c r="M11" s="6">
        <f>AVERAGE(M4:M10)</f>
        <v/>
      </c>
      <c r="N11" s="6">
        <f>AVERAGE(N4:N10)</f>
        <v/>
      </c>
      <c r="O11" s="6">
        <f>AVERAGE(O4:O10)</f>
        <v/>
      </c>
      <c r="P11" s="6">
        <f>AVERAGE(P4:P10)</f>
        <v/>
      </c>
      <c r="Q11" s="6">
        <f>AVERAGE(Q4:Q10)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Table S3. HEXACO structure recovery: proportion of factors aligned.</t>
        </is>
      </c>
    </row>
    <row r="3">
      <c r="A3" s="2" t="inlineStr">
        <is>
          <t>Model</t>
        </is>
      </c>
      <c r="B3" s="2" t="inlineStr">
        <is>
          <t>Atomic</t>
        </is>
      </c>
      <c r="C3" s="2" t="inlineStr">
        <is>
          <t>AtomicR</t>
        </is>
      </c>
      <c r="D3" s="2" t="inlineStr">
        <is>
          <t>Macro</t>
        </is>
      </c>
    </row>
    <row r="4">
      <c r="A4" s="3" t="inlineStr">
        <is>
          <t>D_RoBERTa</t>
        </is>
      </c>
      <c r="B4" s="4">
        <f>AVERAGE('Table S4'!B4:G4)</f>
        <v/>
      </c>
      <c r="C4" s="4">
        <f>AVERAGE('Table S4'!H4:M4)</f>
        <v/>
      </c>
      <c r="D4" s="4">
        <f>AVERAGE('Table S4'!N4:S4)</f>
        <v/>
      </c>
    </row>
    <row r="5">
      <c r="A5" s="3" t="inlineStr">
        <is>
          <t>MiniLM</t>
        </is>
      </c>
      <c r="B5" s="4">
        <f>AVERAGE('Table S4'!B5:G5)</f>
        <v/>
      </c>
      <c r="C5" s="4">
        <f>AVERAGE('Table S4'!H5:M5)</f>
        <v/>
      </c>
      <c r="D5" s="4">
        <f>AVERAGE('Table S4'!N5:S5)</f>
        <v/>
      </c>
    </row>
    <row r="6">
      <c r="A6" s="3" t="inlineStr">
        <is>
          <t>MPNet</t>
        </is>
      </c>
      <c r="B6" s="4">
        <f>AVERAGE('Table S4'!B6:G6)</f>
        <v/>
      </c>
      <c r="C6" s="4">
        <f>AVERAGE('Table S4'!H6:M6)</f>
        <v/>
      </c>
      <c r="D6" s="4">
        <f>AVERAGE('Table S4'!N6:S6)</f>
        <v/>
      </c>
    </row>
    <row r="7">
      <c r="A7" s="3" t="inlineStr">
        <is>
          <t>T5</t>
        </is>
      </c>
      <c r="B7" s="4">
        <f>AVERAGE('Table S4'!B7:G7)</f>
        <v/>
      </c>
      <c r="C7" s="4">
        <f>AVERAGE('Table S4'!H7:M7)</f>
        <v/>
      </c>
      <c r="D7" s="4">
        <f>AVERAGE('Table S4'!N7:S7)</f>
        <v/>
      </c>
    </row>
    <row r="8">
      <c r="A8" s="3" t="inlineStr">
        <is>
          <t>Wulff &amp; Mata</t>
        </is>
      </c>
      <c r="B8" s="4">
        <f>AVERAGE('Table S4'!B8:G8)</f>
        <v/>
      </c>
      <c r="C8" s="4">
        <f>AVERAGE('Table S4'!H8:M8)</f>
        <v/>
      </c>
      <c r="D8" s="4">
        <f>AVERAGE('Table S4'!N8:S8)</f>
        <v/>
      </c>
    </row>
    <row r="9">
      <c r="A9" s="3" t="inlineStr">
        <is>
          <t>USE-DAN</t>
        </is>
      </c>
      <c r="B9" s="4">
        <f>AVERAGE('Table S4'!B9:G9)</f>
        <v/>
      </c>
      <c r="C9" s="4">
        <f>AVERAGE('Table S4'!H9:M9)</f>
        <v/>
      </c>
      <c r="D9" s="4">
        <f>AVERAGE('Table S4'!N9:S9)</f>
        <v/>
      </c>
    </row>
    <row r="10">
      <c r="A10" s="3" t="inlineStr">
        <is>
          <t>Transformers</t>
        </is>
      </c>
      <c r="B10" s="4">
        <f>AVERAGE('Table S4'!B10:G10)</f>
        <v/>
      </c>
      <c r="C10" s="4">
        <f>AVERAGE('Table S4'!H10:M10)</f>
        <v/>
      </c>
      <c r="D10" s="4">
        <f>AVERAGE('Table S4'!N10:S10)</f>
        <v/>
      </c>
    </row>
    <row r="11">
      <c r="A11" s="5" t="inlineStr">
        <is>
          <t>Overall M</t>
        </is>
      </c>
      <c r="B11" s="6">
        <f>AVERAGE(B4:B10)</f>
        <v/>
      </c>
      <c r="C11" s="6">
        <f>AVERAGE(C4:C10)</f>
        <v/>
      </c>
      <c r="D11" s="6">
        <f>AVERAGE(D4:D10)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Table S4. HEXACO factor recovery (1 = aligned).</t>
        </is>
      </c>
    </row>
    <row r="3">
      <c r="A3" s="2" t="inlineStr">
        <is>
          <t>Model</t>
        </is>
      </c>
      <c r="B3" s="2" t="inlineStr">
        <is>
          <t>H (Atomic)</t>
        </is>
      </c>
      <c r="C3" s="2" t="inlineStr">
        <is>
          <t>E (Atomic)</t>
        </is>
      </c>
      <c r="D3" s="2" t="inlineStr">
        <is>
          <t>X (Atomic)</t>
        </is>
      </c>
      <c r="E3" s="2" t="inlineStr">
        <is>
          <t>A (Atomic)</t>
        </is>
      </c>
      <c r="F3" s="2" t="inlineStr">
        <is>
          <t>C (Atomic)</t>
        </is>
      </c>
      <c r="G3" s="2" t="inlineStr">
        <is>
          <t>O (Atomic)</t>
        </is>
      </c>
      <c r="H3" s="2" t="inlineStr">
        <is>
          <t>H (AtomicR)</t>
        </is>
      </c>
      <c r="I3" s="2" t="inlineStr">
        <is>
          <t>E (AtomicR)</t>
        </is>
      </c>
      <c r="J3" s="2" t="inlineStr">
        <is>
          <t>X (AtomicR)</t>
        </is>
      </c>
      <c r="K3" s="2" t="inlineStr">
        <is>
          <t>A (AtomicR)</t>
        </is>
      </c>
      <c r="L3" s="2" t="inlineStr">
        <is>
          <t>C (AtomicR)</t>
        </is>
      </c>
      <c r="M3" s="2" t="inlineStr">
        <is>
          <t>O (AtomicR)</t>
        </is>
      </c>
      <c r="N3" s="2" t="inlineStr">
        <is>
          <t>H (Macro)</t>
        </is>
      </c>
      <c r="O3" s="2" t="inlineStr">
        <is>
          <t>E (Macro)</t>
        </is>
      </c>
      <c r="P3" s="2" t="inlineStr">
        <is>
          <t>X (Macro)</t>
        </is>
      </c>
      <c r="Q3" s="2" t="inlineStr">
        <is>
          <t>A (Macro)</t>
        </is>
      </c>
      <c r="R3" s="2" t="inlineStr">
        <is>
          <t>C (Macro)</t>
        </is>
      </c>
      <c r="S3" s="2" t="inlineStr">
        <is>
          <t>O (Macro)</t>
        </is>
      </c>
      <c r="T3" s="2" t="inlineStr">
        <is>
          <t>M</t>
        </is>
      </c>
    </row>
    <row r="4">
      <c r="A4" s="3" t="inlineStr">
        <is>
          <t>D_RoBERTa</t>
        </is>
      </c>
      <c r="B4" s="4" t="n">
        <v>1</v>
      </c>
      <c r="C4" s="4" t="n">
        <v>1</v>
      </c>
      <c r="D4" s="4" t="n">
        <v>1</v>
      </c>
      <c r="E4" s="4" t="n">
        <v>1</v>
      </c>
      <c r="F4" s="4" t="n">
        <v>1</v>
      </c>
      <c r="G4" s="4" t="n">
        <v>1</v>
      </c>
      <c r="H4" s="4" t="n">
        <v>1</v>
      </c>
      <c r="I4" s="4" t="n">
        <v>1</v>
      </c>
      <c r="J4" s="4" t="n">
        <v>1</v>
      </c>
      <c r="K4" s="4" t="n">
        <v>1</v>
      </c>
      <c r="L4" s="4" t="n">
        <v>1</v>
      </c>
      <c r="M4" s="4" t="n">
        <v>1</v>
      </c>
      <c r="N4" s="4" t="n">
        <v>1</v>
      </c>
      <c r="O4" s="4" t="n">
        <v>0</v>
      </c>
      <c r="P4" s="4" t="n">
        <v>1</v>
      </c>
      <c r="Q4" s="4" t="n">
        <v>0</v>
      </c>
      <c r="R4" s="4" t="n">
        <v>1</v>
      </c>
      <c r="S4" s="4" t="n">
        <v>1</v>
      </c>
      <c r="T4" s="4">
        <f>AVERAGE(B4:S4)</f>
        <v/>
      </c>
    </row>
    <row r="5">
      <c r="A5" s="3" t="inlineStr">
        <is>
          <t>MiniLM</t>
        </is>
      </c>
      <c r="B5" s="4" t="n">
        <v>1</v>
      </c>
      <c r="C5" s="4" t="n">
        <v>1</v>
      </c>
      <c r="D5" s="4" t="n">
        <v>1</v>
      </c>
      <c r="E5" s="4" t="n">
        <v>1</v>
      </c>
      <c r="F5" s="4" t="n">
        <v>1</v>
      </c>
      <c r="G5" s="4" t="n">
        <v>1</v>
      </c>
      <c r="H5" s="4" t="n">
        <v>1</v>
      </c>
      <c r="I5" s="4" t="n">
        <v>1</v>
      </c>
      <c r="J5" s="4" t="n">
        <v>1</v>
      </c>
      <c r="K5" s="4" t="n">
        <v>0</v>
      </c>
      <c r="L5" s="4" t="n">
        <v>1</v>
      </c>
      <c r="M5" s="4" t="n">
        <v>0</v>
      </c>
      <c r="N5" s="4" t="n">
        <v>1</v>
      </c>
      <c r="O5" s="4" t="n">
        <v>1</v>
      </c>
      <c r="P5" s="4" t="n">
        <v>1</v>
      </c>
      <c r="Q5" s="4" t="n">
        <v>1</v>
      </c>
      <c r="R5" s="4" t="n">
        <v>1</v>
      </c>
      <c r="S5" s="4" t="n">
        <v>1</v>
      </c>
      <c r="T5" s="4">
        <f>AVERAGE(B5:S5)</f>
        <v/>
      </c>
    </row>
    <row r="6">
      <c r="A6" s="3" t="inlineStr">
        <is>
          <t>MPNet</t>
        </is>
      </c>
      <c r="B6" s="4" t="n">
        <v>1</v>
      </c>
      <c r="C6" s="4" t="n">
        <v>1</v>
      </c>
      <c r="D6" s="4" t="n">
        <v>1</v>
      </c>
      <c r="E6" s="4" t="n">
        <v>1</v>
      </c>
      <c r="F6" s="4" t="n">
        <v>1</v>
      </c>
      <c r="G6" s="4" t="n">
        <v>1</v>
      </c>
      <c r="H6" s="4" t="n">
        <v>1</v>
      </c>
      <c r="I6" s="4" t="n">
        <v>1</v>
      </c>
      <c r="J6" s="4" t="n">
        <v>1</v>
      </c>
      <c r="K6" s="4" t="n">
        <v>1</v>
      </c>
      <c r="L6" s="4" t="n">
        <v>1</v>
      </c>
      <c r="M6" s="4" t="n">
        <v>1</v>
      </c>
      <c r="N6" s="4" t="n">
        <v>1</v>
      </c>
      <c r="O6" s="4" t="n">
        <v>1</v>
      </c>
      <c r="P6" s="4" t="n">
        <v>1</v>
      </c>
      <c r="Q6" s="4" t="n">
        <v>1</v>
      </c>
      <c r="R6" s="4" t="n">
        <v>1</v>
      </c>
      <c r="S6" s="4" t="n">
        <v>1</v>
      </c>
      <c r="T6" s="4">
        <f>AVERAGE(B6:S6)</f>
        <v/>
      </c>
    </row>
    <row r="7">
      <c r="A7" s="3" t="inlineStr">
        <is>
          <t>T5</t>
        </is>
      </c>
      <c r="B7" s="4" t="n">
        <v>1</v>
      </c>
      <c r="C7" s="4" t="n">
        <v>0</v>
      </c>
      <c r="D7" s="4" t="n">
        <v>0</v>
      </c>
      <c r="E7" s="4" t="n">
        <v>1</v>
      </c>
      <c r="F7" s="4" t="n">
        <v>1</v>
      </c>
      <c r="G7" s="4" t="n">
        <v>1</v>
      </c>
      <c r="H7" s="4" t="n">
        <v>1</v>
      </c>
      <c r="I7" s="4" t="n">
        <v>1</v>
      </c>
      <c r="J7" s="4" t="n">
        <v>1</v>
      </c>
      <c r="K7" s="4" t="n">
        <v>1</v>
      </c>
      <c r="L7" s="4" t="n">
        <v>1</v>
      </c>
      <c r="M7" s="4" t="n">
        <v>1</v>
      </c>
      <c r="N7" s="4" t="n">
        <v>1</v>
      </c>
      <c r="O7" s="4" t="n">
        <v>0</v>
      </c>
      <c r="P7" s="4" t="n">
        <v>0</v>
      </c>
      <c r="Q7" s="4" t="n">
        <v>1</v>
      </c>
      <c r="R7" s="4" t="n">
        <v>1</v>
      </c>
      <c r="S7" s="4" t="n">
        <v>1</v>
      </c>
      <c r="T7" s="4">
        <f>AVERAGE(B7:S7)</f>
        <v/>
      </c>
    </row>
    <row r="8">
      <c r="A8" s="3" t="inlineStr">
        <is>
          <t>Wulff &amp; Mata</t>
        </is>
      </c>
      <c r="B8" s="4" t="n">
        <v>1</v>
      </c>
      <c r="C8" s="4" t="n">
        <v>1</v>
      </c>
      <c r="D8" s="4" t="n">
        <v>1</v>
      </c>
      <c r="E8" s="4" t="n">
        <v>1</v>
      </c>
      <c r="F8" s="4" t="n">
        <v>1</v>
      </c>
      <c r="G8" s="4" t="n">
        <v>1</v>
      </c>
      <c r="H8" s="4" t="n">
        <v>1</v>
      </c>
      <c r="I8" s="4" t="n">
        <v>1</v>
      </c>
      <c r="J8" s="4" t="n">
        <v>1</v>
      </c>
      <c r="K8" s="4" t="n">
        <v>1</v>
      </c>
      <c r="L8" s="4" t="n">
        <v>1</v>
      </c>
      <c r="M8" s="4" t="n">
        <v>1</v>
      </c>
      <c r="N8" s="4" t="n">
        <v>1</v>
      </c>
      <c r="O8" s="4" t="n">
        <v>1</v>
      </c>
      <c r="P8" s="4" t="n">
        <v>1</v>
      </c>
      <c r="Q8" s="4" t="n">
        <v>1</v>
      </c>
      <c r="R8" s="4" t="n">
        <v>1</v>
      </c>
      <c r="S8" s="4" t="n">
        <v>1</v>
      </c>
      <c r="T8" s="4">
        <f>AVERAGE(B8:S8)</f>
        <v/>
      </c>
    </row>
    <row r="9">
      <c r="A9" s="3" t="inlineStr">
        <is>
          <t>USE-DAN</t>
        </is>
      </c>
      <c r="B9" s="4" t="n">
        <v>1</v>
      </c>
      <c r="C9" s="4" t="n">
        <v>1</v>
      </c>
      <c r="D9" s="4" t="n">
        <v>1</v>
      </c>
      <c r="E9" s="4" t="n">
        <v>1</v>
      </c>
      <c r="F9" s="4" t="n">
        <v>1</v>
      </c>
      <c r="G9" s="4" t="n">
        <v>1</v>
      </c>
      <c r="H9" s="4" t="n">
        <v>1</v>
      </c>
      <c r="I9" s="4" t="n">
        <v>1</v>
      </c>
      <c r="J9" s="4" t="n">
        <v>1</v>
      </c>
      <c r="K9" s="4" t="n">
        <v>1</v>
      </c>
      <c r="L9" s="4" t="n">
        <v>1</v>
      </c>
      <c r="M9" s="4" t="n">
        <v>1</v>
      </c>
      <c r="N9" s="4" t="n">
        <v>1</v>
      </c>
      <c r="O9" s="4" t="n">
        <v>1</v>
      </c>
      <c r="P9" s="4" t="n">
        <v>0</v>
      </c>
      <c r="Q9" s="4" t="n">
        <v>1</v>
      </c>
      <c r="R9" s="4" t="n">
        <v>1</v>
      </c>
      <c r="S9" s="4" t="n">
        <v>0</v>
      </c>
      <c r="T9" s="4">
        <f>AVERAGE(B9:S9)</f>
        <v/>
      </c>
    </row>
    <row r="10">
      <c r="A10" s="3" t="inlineStr">
        <is>
          <t>Transformers</t>
        </is>
      </c>
      <c r="B10" s="4" t="n">
        <v>1</v>
      </c>
      <c r="C10" s="4" t="n">
        <v>1</v>
      </c>
      <c r="D10" s="4" t="n">
        <v>1</v>
      </c>
      <c r="E10" s="4" t="n">
        <v>1</v>
      </c>
      <c r="F10" s="4" t="n">
        <v>1</v>
      </c>
      <c r="G10" s="4" t="n">
        <v>1</v>
      </c>
      <c r="H10" s="4" t="n">
        <v>1</v>
      </c>
      <c r="I10" s="4" t="n">
        <v>1</v>
      </c>
      <c r="J10" s="4" t="n">
        <v>1</v>
      </c>
      <c r="K10" s="4" t="n">
        <v>1</v>
      </c>
      <c r="L10" s="4" t="n">
        <v>1</v>
      </c>
      <c r="M10" s="4" t="n">
        <v>1</v>
      </c>
      <c r="N10" s="4" t="n">
        <v>1</v>
      </c>
      <c r="O10" s="4" t="n">
        <v>1</v>
      </c>
      <c r="P10" s="4" t="n">
        <v>1</v>
      </c>
      <c r="Q10" s="4" t="n">
        <v>1</v>
      </c>
      <c r="R10" s="4" t="n">
        <v>1</v>
      </c>
      <c r="S10" s="4" t="n">
        <v>1</v>
      </c>
      <c r="T10" s="4">
        <f>AVERAGE(B10:S10)</f>
        <v/>
      </c>
    </row>
    <row r="11">
      <c r="A11" s="5" t="inlineStr">
        <is>
          <t>Overall M</t>
        </is>
      </c>
      <c r="B11" s="6">
        <f>AVERAGE(B4:B10)</f>
        <v/>
      </c>
      <c r="C11" s="6">
        <f>AVERAGE(C4:C10)</f>
        <v/>
      </c>
      <c r="D11" s="6">
        <f>AVERAGE(D4:D10)</f>
        <v/>
      </c>
      <c r="E11" s="6">
        <f>AVERAGE(E4:E10)</f>
        <v/>
      </c>
      <c r="F11" s="6">
        <f>AVERAGE(F4:F10)</f>
        <v/>
      </c>
      <c r="G11" s="6">
        <f>AVERAGE(G4:G10)</f>
        <v/>
      </c>
      <c r="H11" s="6">
        <f>AVERAGE(H4:H10)</f>
        <v/>
      </c>
      <c r="I11" s="6">
        <f>AVERAGE(I4:I10)</f>
        <v/>
      </c>
      <c r="J11" s="6">
        <f>AVERAGE(J4:J10)</f>
        <v/>
      </c>
      <c r="K11" s="6">
        <f>AVERAGE(K4:K10)</f>
        <v/>
      </c>
      <c r="L11" s="6">
        <f>AVERAGE(L4:L10)</f>
        <v/>
      </c>
      <c r="M11" s="6">
        <f>AVERAGE(M4:M10)</f>
        <v/>
      </c>
      <c r="N11" s="6">
        <f>AVERAGE(N4:N10)</f>
        <v/>
      </c>
      <c r="O11" s="6">
        <f>AVERAGE(O4:O10)</f>
        <v/>
      </c>
      <c r="P11" s="6">
        <f>AVERAGE(P4:P10)</f>
        <v/>
      </c>
      <c r="Q11" s="6">
        <f>AVERAGE(Q4:Q10)</f>
        <v/>
      </c>
      <c r="R11" s="6">
        <f>AVERAGE(R4:R10)</f>
        <v/>
      </c>
      <c r="S11" s="6">
        <f>AVERAGE(S4:S10)</f>
        <v/>
      </c>
      <c r="T11" s="6">
        <f>AVERAGE(T4:T10)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95" customWidth="1" min="2" max="2"/>
    <col width="30" customWidth="1" min="3" max="3"/>
    <col width="30" customWidth="1" min="4" max="4"/>
  </cols>
  <sheetData>
    <row r="1">
      <c r="A1" s="1" t="inlineStr">
        <is>
          <t>Numbers quoted in the text</t>
        </is>
      </c>
    </row>
    <row r="3">
      <c r="A3" s="8" t="inlineStr">
        <is>
          <t>Study</t>
        </is>
      </c>
      <c r="B3" s="8" t="inlineStr">
        <is>
          <t>Quantity</t>
        </is>
      </c>
      <c r="C3" s="8" t="inlineStr">
        <is>
          <t>Value</t>
        </is>
      </c>
      <c r="D3" s="8" t="inlineStr">
        <is>
          <t>Which / source</t>
        </is>
      </c>
    </row>
    <row r="4">
      <c r="A4" t="inlineStr">
        <is>
          <t>NEO</t>
        </is>
      </c>
      <c r="B4" t="inlineStr">
        <is>
          <t>Mean proportion of factors aligned (Overall M of the structure-recovery table), atomic / atomic reversed / macro</t>
        </is>
      </c>
      <c r="C4">
        <f>TEXT('Table S1'!B11,"0%")&amp;" / "&amp;TEXT('Table S1'!C11,"0%")&amp;" / "&amp;TEXT('Table S1'!D11,"0%")</f>
        <v/>
      </c>
      <c r="D4" t="inlineStr"/>
    </row>
    <row r="5">
      <c r="A5" t="inlineStr">
        <is>
          <t>NEO</t>
        </is>
      </c>
      <c r="B5" t="inlineStr">
        <is>
          <t>Best individual transformer, alignment rate per encoding (atomic / atomic reversed / macro)</t>
        </is>
      </c>
      <c r="C5">
        <f>TEXT(MAX('Table S1'!B4:B8),"0%")&amp;" / "&amp;TEXT(MAX('Table S1'!C4:C8),"0%")&amp;" / "&amp;TEXT(MAX('Table S1'!D4:D8),"0%")</f>
        <v/>
      </c>
      <c r="D5" t="inlineStr"/>
    </row>
    <row r="6">
      <c r="A6" t="inlineStr">
        <is>
          <t>NEO</t>
        </is>
      </c>
      <c r="B6" t="inlineStr">
        <is>
          <t>Worst individual transformer, lowest alignment rate in any encoding</t>
        </is>
      </c>
      <c r="C6">
        <f>TEXT(MIN('Table S1'!B4:D8),"0%")</f>
        <v/>
      </c>
      <c r="D6" t="inlineStr"/>
    </row>
    <row r="7">
      <c r="A7" t="inlineStr">
        <is>
          <t>NEO</t>
        </is>
      </c>
      <c r="B7" t="inlineStr">
        <is>
          <t>USE-DAN alignment rates, range over encodings</t>
        </is>
      </c>
      <c r="C7">
        <f>TEXT(MIN('Table S1'!B9:D9),"0%")&amp;" to "&amp;TEXT(MAX('Table S1'!B9:D9),"0%")</f>
        <v/>
      </c>
      <c r="D7" t="inlineStr"/>
    </row>
    <row r="8">
      <c r="A8" t="inlineStr">
        <is>
          <t>NEO</t>
        </is>
      </c>
      <c r="B8" t="inlineStr">
        <is>
          <t>Lowest alignment rate for a specific factor (over the 7 solutions)</t>
        </is>
      </c>
      <c r="C8">
        <f>TEXT(MIN('Table S2'!B11:P11),"0%")</f>
        <v/>
      </c>
      <c r="D8" t="inlineStr">
        <is>
          <t>O (atomic)</t>
        </is>
      </c>
    </row>
    <row r="9">
      <c r="A9" t="inlineStr">
        <is>
          <t>NEO</t>
        </is>
      </c>
      <c r="B9" t="inlineStr">
        <is>
          <t>All other specific-factor alignment rates at least</t>
        </is>
      </c>
      <c r="C9">
        <f>TEXT(SMALL('Table S2'!B11:P11,COUNTIF('Table S2'!B11:P11,MIN('Table S2'!B11:P11))+1),"0%")</f>
        <v/>
      </c>
      <c r="D9" t="inlineStr"/>
    </row>
    <row r="10">
      <c r="A10" t="inlineStr">
        <is>
          <t>NEO</t>
        </is>
      </c>
      <c r="B10" t="inlineStr">
        <is>
          <t>Encoding(s) with the highest mean alignment rate</t>
        </is>
      </c>
      <c r="C10" t="inlineStr"/>
      <c r="D10" t="inlineStr">
        <is>
          <t>Atomic reversed, Macro</t>
        </is>
      </c>
    </row>
    <row r="11">
      <c r="A11" t="inlineStr">
        <is>
          <t>NEO</t>
        </is>
      </c>
      <c r="B11" t="inlineStr">
        <is>
          <t>Residuals of the printed solution: RMSR / median |residual| / % over .05 / % over .10</t>
        </is>
      </c>
      <c r="C11" t="inlineStr">
        <is>
          <t>0.023 / 0.014 / 4.4% / 0.0%</t>
        </is>
      </c>
      <c r="D11" t="inlineStr">
        <is>
          <t>residuals.csv</t>
        </is>
      </c>
    </row>
    <row r="12">
      <c r="A12" t="inlineStr">
        <is>
          <t>NEO</t>
        </is>
      </c>
      <c r="B12" t="inlineStr">
        <is>
          <t>Robustness: factors aligned in the all-noise matrix at DAAL floor .30 / .35</t>
        </is>
      </c>
      <c r="C12" t="inlineStr">
        <is>
          <t>1 / 0</t>
        </is>
      </c>
      <c r="D12" t="inlineStr">
        <is>
          <t>robustness.csv</t>
        </is>
      </c>
    </row>
    <row r="13">
      <c r="A13" t="inlineStr">
        <is>
          <t>HEXACO</t>
        </is>
      </c>
      <c r="B13" t="inlineStr">
        <is>
          <t>Mean proportion of factors aligned (Overall M of the structure-recovery table), atomic / atomic reversed / macro</t>
        </is>
      </c>
      <c r="C13">
        <f>TEXT('Table S3'!B11,"0%")&amp;" / "&amp;TEXT('Table S3'!C11,"0%")&amp;" / "&amp;TEXT('Table S3'!D11,"0%")</f>
        <v/>
      </c>
      <c r="D13" t="inlineStr"/>
    </row>
    <row r="14">
      <c r="A14" t="inlineStr">
        <is>
          <t>HEXACO</t>
        </is>
      </c>
      <c r="B14" t="inlineStr">
        <is>
          <t>Best individual transformer, alignment rate per encoding (atomic / atomic reversed / macro)</t>
        </is>
      </c>
      <c r="C14">
        <f>TEXT(MAX('Table S3'!B4:B8),"0%")&amp;" / "&amp;TEXT(MAX('Table S3'!C4:C8),"0%")&amp;" / "&amp;TEXT(MAX('Table S3'!D4:D8),"0%")</f>
        <v/>
      </c>
      <c r="D14" t="inlineStr"/>
    </row>
    <row r="15">
      <c r="A15" t="inlineStr">
        <is>
          <t>HEXACO</t>
        </is>
      </c>
      <c r="B15" t="inlineStr">
        <is>
          <t>Worst individual transformer, lowest alignment rate in any encoding</t>
        </is>
      </c>
      <c r="C15">
        <f>TEXT(MIN('Table S3'!B4:D8),"0%")</f>
        <v/>
      </c>
      <c r="D15" t="inlineStr"/>
    </row>
    <row r="16">
      <c r="A16" t="inlineStr">
        <is>
          <t>HEXACO</t>
        </is>
      </c>
      <c r="B16" t="inlineStr">
        <is>
          <t>USE-DAN alignment rates, range over encodings</t>
        </is>
      </c>
      <c r="C16">
        <f>TEXT(MIN('Table S3'!B9:D9),"0%")&amp;" to "&amp;TEXT(MAX('Table S3'!B9:D9),"0%")</f>
        <v/>
      </c>
      <c r="D16" t="inlineStr"/>
    </row>
    <row r="17">
      <c r="A17" t="inlineStr">
        <is>
          <t>HEXACO</t>
        </is>
      </c>
      <c r="B17" t="inlineStr">
        <is>
          <t>Lowest alignment rate for a specific factor (over the 7 solutions)</t>
        </is>
      </c>
      <c r="C17">
        <f>TEXT(MIN('Table S4'!B11:S11),"0%")</f>
        <v/>
      </c>
      <c r="D17" t="inlineStr">
        <is>
          <t>E (macro), X (macro)</t>
        </is>
      </c>
    </row>
    <row r="18">
      <c r="A18" t="inlineStr">
        <is>
          <t>HEXACO</t>
        </is>
      </c>
      <c r="B18" t="inlineStr">
        <is>
          <t>All other specific-factor alignment rates at least</t>
        </is>
      </c>
      <c r="C18">
        <f>TEXT(SMALL('Table S4'!B11:S11,COUNTIF('Table S4'!B11:S11,MIN('Table S4'!B11:S11))+1),"0%")</f>
        <v/>
      </c>
      <c r="D18" t="inlineStr"/>
    </row>
    <row r="19">
      <c r="A19" t="inlineStr">
        <is>
          <t>HEXACO</t>
        </is>
      </c>
      <c r="B19" t="inlineStr">
        <is>
          <t>Encoding(s) with the highest mean alignment rate</t>
        </is>
      </c>
      <c r="C19" t="inlineStr"/>
      <c r="D19" t="inlineStr">
        <is>
          <t>Atomic, Atomic reversed</t>
        </is>
      </c>
    </row>
    <row r="20">
      <c r="A20" t="inlineStr">
        <is>
          <t>HEXACO</t>
        </is>
      </c>
      <c r="B20" t="inlineStr">
        <is>
          <t>Residuals of the printed solution: RMSR / median |residual| / % over .05 / % over .10</t>
        </is>
      </c>
      <c r="C20" t="inlineStr">
        <is>
          <t>0.018 / 0.009 / 1.4% / 0.0%</t>
        </is>
      </c>
      <c r="D20" t="inlineStr">
        <is>
          <t>residuals.csv</t>
        </is>
      </c>
    </row>
    <row r="21">
      <c r="A21" t="inlineStr">
        <is>
          <t>HEXACO</t>
        </is>
      </c>
      <c r="B21" t="inlineStr">
        <is>
          <t>Robustness: factors aligned in the all-noise matrix at DAAL floor .30 / .35</t>
        </is>
      </c>
      <c r="C21" t="inlineStr">
        <is>
          <t>2 / 1</t>
        </is>
      </c>
      <c r="D21" t="inlineStr">
        <is>
          <t>robustness.csv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2026-10-26T19:44:43Z</dcterms:created>
  <dcterms:modified xsi:type="dcterms:W3CDTF">2026-10-26T19:44:43Z</dcterms:modified>
</cp:coreProperties>
</file>